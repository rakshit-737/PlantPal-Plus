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FR_Register" sheetId="2" state="visible" r:id="rId4"/>
    <sheet name="Test_Register" sheetId="3" state="visible" r:id="rId5"/>
    <sheet name="Execution_Log" sheetId="4" state="visible" r:id="rId6"/>
    <sheet name="Defect_Log" sheetId="5" state="visible" r:id="rId7"/>
    <sheet name="Manual_Results" sheetId="6" state="visible" r:id="rId8"/>
    <sheet name="Run_Summary" sheetId="7" state="visible" r:id="rId9"/>
  </sheets>
  <definedNames>
    <definedName function="false" hidden="true" localSheetId="4" name="_xlnm._FilterDatabase" vbProcedure="false">Defect_Log!$A$1:$K$50</definedName>
    <definedName function="false" hidden="true" localSheetId="3" name="_xlnm._FilterDatabase" vbProcedure="false">Execution_Log!$A$1:$I$1699</definedName>
    <definedName function="false" hidden="true" localSheetId="1" name="_xlnm._FilterDatabase" vbProcedure="false">FR_Register!$A$1:$J$229</definedName>
    <definedName function="false" hidden="true" localSheetId="5" name="_xlnm._FilterDatabase" vbProcedure="false">Manual_Results!$A$1:$N$58</definedName>
    <definedName function="false" hidden="true" localSheetId="2" name="_xlnm._FilterDatabase" vbProcedure="false">Test_Register!$A$1:$G$398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<sst xmlns="http://schemas.openxmlformats.org/spreadsheetml/2006/main" count="17206" uniqueCount="2477">
  <si>
    <t xml:space="preserve">PlantPal+ Test Workbook</t>
  </si>
  <si>
    <t xml:space="preserve">Generated 2026-10-17 from RUN-01. Companion to the Master Test Plan doc and PlantPal_Manual_Test_Checklist.xlsx.</t>
  </si>
  <si>
    <t xml:space="preserve">Sheets</t>
  </si>
  <si>
    <t xml:space="preserve">FR_Register: all 228 functional requirements extracted from 01_requirements/modules, with priority, release and the verification method the SRS assigns. Column H lists the automated tests mapped to each FR (a range-based mapping, review it); edit column H to correct. Demonstration and Inspection FRs are covered by the manual checklist, not here. Column J is a keyword heuristic for features that may not exist in the code.</t>
  </si>
  <si>
    <t xml:space="preserve">Test_Register: one row per automated test case ID (variants of a parameterised test are counted in column F).</t>
  </si>
  <si>
    <t xml:space="preserve">Execution_Log: one row per executed test. RUN-01 and RUN-01B (shared, web, mobile and API suites) were executed in a sandbox (Node 22.22.2, PostgreSQL 16, Vitest 4.1.10) on the repository snapshot dated 2026-10-11 (no git hash). RUN-02 re-ran all 849 new tests on the tester's machine. Never edit existing rows.</t>
  </si>
  <si>
    <t xml:space="preserve">Defect_Log: DEF-001 to DEF-022 found by the automated runs; DEF-023 onward found by manual testing (Must-priority cases).</t>
  </si>
  <si>
    <t xml:space="preserve">Run_Summary: formulas over Execution_Log and Manual_Results.</t>
  </si>
  <si>
    <t xml:space="preserve">Manual_Results: the 57 Must-priority manual cases with result, actual behaviour, evidence file and defect ID.</t>
  </si>
  <si>
    <t xml:space="preserve">Rules</t>
  </si>
  <si>
    <t xml:space="preserve">Result values: Pass, Fail, Skipped, Blocked, Not run. A skipped suite (no TEST_DATABASE_URL) is never a Pass.</t>
  </si>
  <si>
    <t xml:space="preserve">A test whose title contains [DEF-nnn] is a deliberate failing test that proves a defect. It fails until the defect is fixed. It is not a broken test.</t>
  </si>
  <si>
    <t xml:space="preserve">Retests are new rows with a new date and build. Original rows are never edited.</t>
  </si>
  <si>
    <t xml:space="preserve">Yellow cells are for you to fill in.</t>
  </si>
  <si>
    <t xml:space="preserve">FR ID</t>
  </si>
  <si>
    <t xml:space="preserve">Title</t>
  </si>
  <si>
    <t xml:space="preserve">Module</t>
  </si>
  <si>
    <t xml:space="preserve">Priority</t>
  </si>
  <si>
    <t xml:space="preserve">Release</t>
  </si>
  <si>
    <t xml:space="preserve">Verification (SRS)</t>
  </si>
  <si>
    <t xml:space="preserve">Planned method</t>
  </si>
  <si>
    <t xml:space="preserve">Mapped test IDs</t>
  </si>
  <si>
    <t xml:space="preserve">Mapping status</t>
  </si>
  <si>
    <t xml:space="preserve">Code scan note</t>
  </si>
  <si>
    <t xml:space="preserve">FR-ACC-01</t>
  </si>
  <si>
    <t xml:space="preserve">Register an account</t>
  </si>
  <si>
    <t xml:space="preserve">accounts</t>
  </si>
  <si>
    <t xml:space="preserve">Must</t>
  </si>
  <si>
    <t xml:space="preserve">v0.1 Walking Skeleton</t>
  </si>
  <si>
    <t xml:space="preserve">Test</t>
  </si>
  <si>
    <t xml:space="preserve">TC-ACC-001, TC-ACC-002, TC-ACC-003, TC-ACC-004, TC-ACC-009, TC-ACC-010, TC-ACC-011, TC-ACC-221, TC-ACC-222, TC-ACC-223, TC-ACC-224, TC-ACC-225, TC-ACC-226, TC-ACC-227, TC-ACC-228, TC-ACC-229, TC-ACC-230, TC-ACC-231, TC-ACC-232, TC-ACC-233, TC-ACC-234, TC-ACC-235</t>
  </si>
  <si>
    <t xml:space="preserve">FR-ACC-02</t>
  </si>
  <si>
    <t xml:space="preserve">Enforce the password composition policy</t>
  </si>
  <si>
    <t xml:space="preserve">TC-ACC-005, TC-ACC-006, TC-ACC-007, TC-ACC-008, TC-ACC-221, TC-ACC-222, TC-ACC-223, TC-ACC-224, TC-ACC-225, TC-ACC-226, TC-ACC-227, TC-ACC-228, TC-ACC-229, TC-ACC-230, TC-ACC-231, TC-ACC-232, TC-ACC-233, TC-ACC-234, TC-ACC-235</t>
  </si>
  <si>
    <t xml:space="preserve">FR-ACC-03</t>
  </si>
  <si>
    <t xml:space="preserve">Reject breached passwords</t>
  </si>
  <si>
    <t xml:space="preserve">Should</t>
  </si>
  <si>
    <t xml:space="preserve">v1.0 MVP</t>
  </si>
  <si>
    <t xml:space="preserve">keyword found in code</t>
  </si>
  <si>
    <t xml:space="preserve">FR-ACC-04</t>
  </si>
  <si>
    <t xml:space="preserve">Verify an email address</t>
  </si>
  <si>
    <t xml:space="preserve">v0.5 Alpha</t>
  </si>
  <si>
    <t xml:space="preserve">keyword found in code | Batch A: NOT_IMPL - No verify/resend route in auth or account routes</t>
  </si>
  <si>
    <t xml:space="preserve">FR-ACC-05</t>
  </si>
  <si>
    <t xml:space="preserve">Throttle verification resends</t>
  </si>
  <si>
    <t xml:space="preserve">Batch A: NOT_IMPL - Depends on ACC-04; no route</t>
  </si>
  <si>
    <t xml:space="preserve">FR-ACC-06</t>
  </si>
  <si>
    <t xml:space="preserve">Authenticate and issue a token pair</t>
  </si>
  <si>
    <t xml:space="preserve">TC-ACC-009, TC-ACC-010, TC-ACC-011, TC-ACC-012, TC-ACC-013, TC-ACC-014, TC-ACC-015, TC-ACC-016, TC-ACC-017, TC-ACC-018, TC-ACC-019, TC-ACC-020, TC-ACC-021, TC-ACC-022, TC-ACC-023, TC-ACC-024, TC-ACC-201, TC-ACC-202, TC-ACC-203, TC-ACC-204, TC-ACC-205, TC-ACC-206, TC-ACC-207, TC-ACC-208, TC-ACC-209, TC-ACC-210, TC-DAT-008, TC-DAT-009</t>
  </si>
  <si>
    <t xml:space="preserve">FR-ACC-07</t>
  </si>
  <si>
    <t xml:space="preserve">Lock out after repeated failures with exponential backoff</t>
  </si>
  <si>
    <t xml:space="preserve">TC-ACC-201, TC-ACC-202, TC-ACC-203, TC-ACC-204, TC-ACC-205, TC-ACC-206, TC-ACC-207, TC-ACC-208, TC-ACC-209, TC-ACC-210</t>
  </si>
  <si>
    <t xml:space="preserve">FR-ACC-08</t>
  </si>
  <si>
    <t xml:space="preserve">Rotate the refresh token on redemption</t>
  </si>
  <si>
    <t xml:space="preserve">TC-ACC-025, TC-ACC-026, TC-ACC-027, TC-ACC-028, TC-ACC-030, TC-ACC-031, TC-DAT-008, TC-DAT-009</t>
  </si>
  <si>
    <t xml:space="preserve">FR-ACC-09</t>
  </si>
  <si>
    <t xml:space="preserve">Detect refresh reuse and revoke the family</t>
  </si>
  <si>
    <t xml:space="preserve">TC-ACC-025, TC-ACC-026, TC-ACC-027, TC-ACC-028</t>
  </si>
  <si>
    <t xml:space="preserve">FR-ACC-10</t>
  </si>
  <si>
    <t xml:space="preserve">Log out of the current session</t>
  </si>
  <si>
    <t xml:space="preserve">TC-ACC-029</t>
  </si>
  <si>
    <t xml:space="preserve">FR-ACC-11</t>
  </si>
  <si>
    <t xml:space="preserve">Log out from all devices</t>
  </si>
  <si>
    <t xml:space="preserve">NO keyword hit in api/web/mobile source: likely not implemented (heuristic, confirm by hand) | Batch A: NOT_IMPL - Only POST /logout exists; no logout-all</t>
  </si>
  <si>
    <t xml:space="preserve">FR-ACC-12</t>
  </si>
  <si>
    <t xml:space="preserve">Request a password reset</t>
  </si>
  <si>
    <t xml:space="preserve">keyword found in code | Batch A: NOT_IMPL - No reset route</t>
  </si>
  <si>
    <t xml:space="preserve">FR-ACC-13</t>
  </si>
  <si>
    <t xml:space="preserve">Complete a password reset</t>
  </si>
  <si>
    <t xml:space="preserve">Batch A: NOT_IMPL - No reset route</t>
  </si>
  <si>
    <t xml:space="preserve">FR-ACC-14</t>
  </si>
  <si>
    <t xml:space="preserve">Change password while authenticated</t>
  </si>
  <si>
    <t xml:space="preserve">NO keyword hit in api/web/mobile source: likely not implemented (heuristic, confirm by hand) | Batch A: NOT_IMPL - No change-password route</t>
  </si>
  <si>
    <t xml:space="preserve">FR-ACC-15</t>
  </si>
  <si>
    <t xml:space="preserve">Persist the profile record</t>
  </si>
  <si>
    <t xml:space="preserve">Batch A: UNCLEAR - GET /auth/me and settings exist; check profile fields vs FR | Batch E: NOT_IMPL - profiles table has all fields; no endpoint writes display_name, dob, sex, height, body mass or activity level (settings PUT and GET /auth/me do not)</t>
  </si>
  <si>
    <t xml:space="preserve">FR-ACC-16</t>
  </si>
  <si>
    <t xml:space="preserve">Persist account preferences</t>
  </si>
  <si>
    <t xml:space="preserve">Batch A: UNCLEAR - settings GET/PUT exist; check preference fields vs FR | Batch E: IMPL_EXISTING_TEST - settings PUT handles timezone, locale, hemisphere, unit_system and the three module flags; settings tests TC-SET-001..008 and DEF-015 cover it, review</t>
  </si>
  <si>
    <t xml:space="preserve">FR-ACC-17</t>
  </si>
  <si>
    <t xml:space="preserve">Record and resume onboarding progress</t>
  </si>
  <si>
    <t xml:space="preserve">Demonstration</t>
  </si>
  <si>
    <t xml:space="preserve">FR-ACC-18</t>
  </si>
  <si>
    <t xml:space="preserve">List active sessions</t>
  </si>
  <si>
    <t xml:space="preserve">NO keyword hit in api/web/mobile source: likely not implemented (heuristic, confirm by hand)</t>
  </si>
  <si>
    <t xml:space="preserve">FR-ACC-19</t>
  </si>
  <si>
    <t xml:space="preserve">Revoke a single session</t>
  </si>
  <si>
    <t xml:space="preserve">FR-ACC-20</t>
  </si>
  <si>
    <t xml:space="preserve">Export the account as a JSON archive</t>
  </si>
  <si>
    <t xml:space="preserve">keyword found in code | Batch A: NOT_IMPL - No export route under account</t>
  </si>
  <si>
    <t xml:space="preserve">FR-ACC-21</t>
  </si>
  <si>
    <t xml:space="preserve">Request account deletion with a grace period</t>
  </si>
  <si>
    <t xml:space="preserve">TC-ACC-101, TC-ACC-102, TC-ACC-103, TC-ACC-104, TC-ACC-105, TC-ACC-106, TC-ACC-107, TC-ACC-201, TC-ACC-202, TC-ACC-203, TC-ACC-204, TC-ACC-205, TC-ACC-206, TC-ACC-207, TC-ACC-208, TC-ACC-209, TC-ACC-210, TC-ACC-301, TC-ACC-302, TC-ACC-303, TC-ACC-304, TC-ACC-305, TC-ACC-306, TC-ACC-307, TC-ACC-308, TC-ACC-309</t>
  </si>
  <si>
    <t xml:space="preserve">FR-ACC-22</t>
  </si>
  <si>
    <t xml:space="preserve">Execute permanent erasure</t>
  </si>
  <si>
    <t xml:space="preserve">TC-ACC-101, TC-ACC-102, TC-ACC-103, TC-ACC-104, TC-ACC-105, TC-ACC-106, TC-ACC-107, TC-ACC-301, TC-ACC-302, TC-ACC-303, TC-ACC-304, TC-ACC-305, TC-ACC-306, TC-ACC-307, TC-ACC-308, TC-ACC-309, TC-ACC-401, TC-ACC-402, TC-ACC-403 (fail: DEF-020), TC-ACC-404</t>
  </si>
  <si>
    <t xml:space="preserve">FR-ACC-23</t>
  </si>
  <si>
    <t xml:space="preserve">Enforce server-side ownership authorisation</t>
  </si>
  <si>
    <t xml:space="preserve">Test, Inspection</t>
  </si>
  <si>
    <t xml:space="preserve">TC-SEC-001, TC-SEC-002, TC-SEC-003, TC-SEC-004, TC-SEC-005, TC-SEC-006, TC-SEC-007, TC-SEC-008, TC-SEC-008b, TC-SEC-009, TC-SEC-010, TC-SEC-011</t>
  </si>
  <si>
    <t xml:space="preserve">FR-ACC-24</t>
  </si>
  <si>
    <t xml:space="preserve">Sign in with Google or Apple and link by verified email</t>
  </si>
  <si>
    <t xml:space="preserve">v1.1 Post-MVP</t>
  </si>
  <si>
    <t xml:space="preserve">FR-DSH-01</t>
  </si>
  <si>
    <t xml:space="preserve">Single-round-trip dashboard aggregate</t>
  </si>
  <si>
    <t xml:space="preserve">dashboard-and-settings</t>
  </si>
  <si>
    <t xml:space="preserve">TC-DSH-001, TC-DSH-002, TC-DSH-003, TC-DSH-004</t>
  </si>
  <si>
    <t xml:space="preserve">FR-DSH-02</t>
  </si>
  <si>
    <t xml:space="preserve">Header greeting and date label</t>
  </si>
  <si>
    <t xml:space="preserve">FR-DSH-03</t>
  </si>
  <si>
    <t xml:space="preserve">Global streak indicator</t>
  </si>
  <si>
    <t xml:space="preserve">FR-DSH-04</t>
  </si>
  <si>
    <t xml:space="preserve">Today list assembly</t>
  </si>
  <si>
    <t xml:space="preserve">TC-DSH-301, TC-DSH-302</t>
  </si>
  <si>
    <t xml:space="preserve">Batch A: IMPL_UNTESTED - GET /dashboard exists; assembly not asserted per FR</t>
  </si>
  <si>
    <t xml:space="preserve">FR-DSH-05</t>
  </si>
  <si>
    <t xml:space="preserve">Deterministic Today ordering</t>
  </si>
  <si>
    <t xml:space="preserve">Batch A: UNCLEAR - Single dashboard GET; check ordering in dashboardRepo | Batch E: NOT_IMPL - today_list is a flat list; no six-key sort</t>
  </si>
  <si>
    <t xml:space="preserve">FR-DSH-06</t>
  </si>
  <si>
    <t xml:space="preserve">Plant watering aggregation</t>
  </si>
  <si>
    <t xml:space="preserve">Batch A: UNCLEAR - Check dashboardRepo for watering aggregation | Batch E: NOT_IMPL - API returns due_today and overdue counts only; no grouped entry</t>
  </si>
  <si>
    <t xml:space="preserve">FR-DSH-07</t>
  </si>
  <si>
    <t xml:space="preserve">Inline primary action</t>
  </si>
  <si>
    <t xml:space="preserve">Batch A: UNCLEAR - UI feature; web DashboardPage | Batch E: CLIENT_CHECK - web DashboardPage has a todayAction for water; verify by demonstration, not statically decidable</t>
  </si>
  <si>
    <t xml:space="preserve">FR-DSH-08</t>
  </si>
  <si>
    <t xml:space="preserve">Module summary cards and progress rings</t>
  </si>
  <si>
    <t xml:space="preserve">Batch A: IMPL_UNTESTED - web DashboardPage/ui.tsx; no component test</t>
  </si>
  <si>
    <t xml:space="preserve">FR-DSH-09</t>
  </si>
  <si>
    <t xml:space="preserve">Recent achievement unlocks</t>
  </si>
  <si>
    <t xml:space="preserve">FR-DSH-10</t>
  </si>
  <si>
    <t xml:space="preserve">Quick-add action set</t>
  </si>
  <si>
    <t xml:space="preserve">FR-DSH-11</t>
  </si>
  <si>
    <t xml:space="preserve">Past-date navigation</t>
  </si>
  <si>
    <t xml:space="preserve">Batch A: UNCLEAR - Check dashboard date param | Batch E: PARTIAL - date param accepted by regex only; no creation-date lower bound or future-date rejection found in controller. Suspected gap, NOT executed</t>
  </si>
  <si>
    <t xml:space="preserve">FR-DSH-12</t>
  </si>
  <si>
    <t xml:space="preserve">Today shortcut</t>
  </si>
  <si>
    <t xml:space="preserve">FR-DSH-13</t>
  </si>
  <si>
    <t xml:space="preserve">Past-date read-only matrix</t>
  </si>
  <si>
    <t xml:space="preserve">Batch A: UNCLEAR - Check read-only handling for past dates | Batch E: CLIENT_CHECK - client read-only matrix; verify by demonstration</t>
  </si>
  <si>
    <t xml:space="preserve">FR-DSH-14</t>
  </si>
  <si>
    <t xml:space="preserve">Timezone day boundary and DST correctness</t>
  </si>
  <si>
    <t xml:space="preserve">TC-DSH-001, TC-DSH-002, TC-DSH-003, TC-DSH-004, TC-GAM-013, TC-GAM-014, TC-GAM-015, TC-GAM-016, TC-GAM-017, TC-SYS-401, TC-SYS-402, TC-SYS-403, TC-SYS-404</t>
  </si>
  <si>
    <t xml:space="preserve">FR-DSH-15</t>
  </si>
  <si>
    <t xml:space="preserve">Module enablement adaptation</t>
  </si>
  <si>
    <t xml:space="preserve">Batch A: IMPL_UNTESTED - web DashboardPage/AppShell reference module enablement</t>
  </si>
  <si>
    <t xml:space="preserve">FR-DSH-16</t>
  </si>
  <si>
    <t xml:space="preserve">Empty and all-caught-up states</t>
  </si>
  <si>
    <t xml:space="preserve">FR-DSH-17</t>
  </si>
  <si>
    <t xml:space="preserve">First-run onboarding checklist</t>
  </si>
  <si>
    <t xml:space="preserve">FR-DSH-18</t>
  </si>
  <si>
    <t xml:space="preserve">Loading skeletons</t>
  </si>
  <si>
    <t xml:space="preserve">FR-DSH-19</t>
  </si>
  <si>
    <t xml:space="preserve">Offline rendering</t>
  </si>
  <si>
    <t xml:space="preserve">Batch A: UNCLEAR - Offline UI; mobile only, no screen tests | Batch E: CLIENT_CHECK - mobile offline banner and cache; verify on device</t>
  </si>
  <si>
    <t xml:space="preserve">FR-DSH-20</t>
  </si>
  <si>
    <t xml:space="preserve">Section-level degradation and retry</t>
  </si>
  <si>
    <t xml:space="preserve">FR-DSH-21</t>
  </si>
  <si>
    <t xml:space="preserve">Refresh and throttle</t>
  </si>
  <si>
    <t xml:space="preserve">Batch A: UNCLEAR - Check throttle on dashboard route | Batch E: CLIENT_CHECK - client refresh throttle; verify by demonstration</t>
  </si>
  <si>
    <t xml:space="preserve">FR-DSH-22</t>
  </si>
  <si>
    <t xml:space="preserve">Responsive layout</t>
  </si>
  <si>
    <t xml:space="preserve">FR-DSH-23</t>
  </si>
  <si>
    <t xml:space="preserve">Cache freshness and invalidation</t>
  </si>
  <si>
    <t xml:space="preserve">Batch A: UNCLEAR - Client cache logic, web/mobile | Batch E: CLIENT_CHECK - client cache freshness; verify by demonstration</t>
  </si>
  <si>
    <t xml:space="preserve">FR-DSH-24</t>
  </si>
  <si>
    <t xml:space="preserve">Deep-link focus</t>
  </si>
  <si>
    <t xml:space="preserve">FR-SET-01</t>
  </si>
  <si>
    <t xml:space="preserve">Settings hub information architecture</t>
  </si>
  <si>
    <t xml:space="preserve">TC-SET-001, TC-SET-002, TC-SET-003, TC-SET-004, TC-SET-005, TC-SET-006, TC-SET-007, TC-SET-008</t>
  </si>
  <si>
    <t xml:space="preserve">FR-SET-02</t>
  </si>
  <si>
    <t xml:space="preserve">Profile entry point</t>
  </si>
  <si>
    <t xml:space="preserve">FR-SET-03</t>
  </si>
  <si>
    <t xml:space="preserve">Unit system selection</t>
  </si>
  <si>
    <t xml:space="preserve">FR-SET-04</t>
  </si>
  <si>
    <t xml:space="preserve">Historical value display conversion</t>
  </si>
  <si>
    <t xml:space="preserve">Batch A: UNCLEAR - Check unit conversion in web settings | Batch E: CLIENT_CHECK - unit_system is stored; display conversion is client-side, verify by demonstration</t>
  </si>
  <si>
    <t xml:space="preserve">FR-SET-05</t>
  </si>
  <si>
    <t xml:space="preserve">Theme selection</t>
  </si>
  <si>
    <t xml:space="preserve">FR-SET-06</t>
  </si>
  <si>
    <t xml:space="preserve">Week start day</t>
  </si>
  <si>
    <t xml:space="preserve">FR-SET-07</t>
  </si>
  <si>
    <t xml:space="preserve">Timezone selection</t>
  </si>
  <si>
    <t xml:space="preserve">FR-SET-08</t>
  </si>
  <si>
    <t xml:space="preserve">Timezone drift prompt</t>
  </si>
  <si>
    <t xml:space="preserve">FR-SET-09</t>
  </si>
  <si>
    <t xml:space="preserve">Hemisphere selection</t>
  </si>
  <si>
    <t xml:space="preserve">TC-PLT-001, TC-PLT-002, TC-PLT-003, TC-PLT-004, TC-PLT-005, TC-PLT-006, TC-PLT-007, TC-PLT-008, TC-PLT-009, TC-PLT-010, TC-SET-001, TC-SET-002, TC-SET-003, TC-SET-004, TC-SET-005, TC-SET-006, TC-SET-007, TC-SET-008</t>
  </si>
  <si>
    <t xml:space="preserve">FR-SET-10</t>
  </si>
  <si>
    <t xml:space="preserve">Recomputation cascade</t>
  </si>
  <si>
    <t xml:space="preserve">Batch A: UNCLEAR - Recompute on settings change; syncController/streak.ts | Batch E: NOT_IMPL - settings write path is a plain update; no recompute or reschedule call found</t>
  </si>
  <si>
    <t xml:space="preserve">FR-SET-11</t>
  </si>
  <si>
    <t xml:space="preserve">Module enablement</t>
  </si>
  <si>
    <t xml:space="preserve">FR-SET-12</t>
  </si>
  <si>
    <t xml:space="preserve">Last-module guard</t>
  </si>
  <si>
    <t xml:space="preserve">FR-SET-13</t>
  </si>
  <si>
    <t xml:space="preserve">Module disable confirmation</t>
  </si>
  <si>
    <t xml:space="preserve">FR-SET-14</t>
  </si>
  <si>
    <t xml:space="preserve">Notification category matrix</t>
  </si>
  <si>
    <t xml:space="preserve">Batch A: UNCLEAR - No category matrix route found | Batch E: NOT_IMPL - no category matrix; only daily_notification_cap</t>
  </si>
  <si>
    <t xml:space="preserve">FR-SET-15</t>
  </si>
  <si>
    <t xml:space="preserve">Channel preferences</t>
  </si>
  <si>
    <t xml:space="preserve">Batch A: NOT_IMPL - No channel preference code found</t>
  </si>
  <si>
    <t xml:space="preserve">FR-SET-16</t>
  </si>
  <si>
    <t xml:space="preserve">Quiet hours</t>
  </si>
  <si>
    <t xml:space="preserve">FR-SET-17</t>
  </si>
  <si>
    <t xml:space="preserve">Default reminder times per category</t>
  </si>
  <si>
    <t xml:space="preserve">Batch A: NOT_IMPL - No per-category default time code found</t>
  </si>
  <si>
    <t xml:space="preserve">FR-SET-18</t>
  </si>
  <si>
    <t xml:space="preserve">Glass size preference</t>
  </si>
  <si>
    <t xml:space="preserve">FR-SET-19</t>
  </si>
  <si>
    <t xml:space="preserve">Integration feature flags</t>
  </si>
  <si>
    <t xml:space="preserve">FR-SET-20</t>
  </si>
  <si>
    <t xml:space="preserve">Export request</t>
  </si>
  <si>
    <t xml:space="preserve">Batch A: NOT_IMPL - No export route</t>
  </si>
  <si>
    <t xml:space="preserve">FR-SET-21</t>
  </si>
  <si>
    <t xml:space="preserve">Export delivery</t>
  </si>
  <si>
    <t xml:space="preserve">FR-SET-22</t>
  </si>
  <si>
    <t xml:space="preserve">Data import</t>
  </si>
  <si>
    <t xml:space="preserve">Could</t>
  </si>
  <si>
    <t xml:space="preserve">FR-SET-23</t>
  </si>
  <si>
    <t xml:space="preserve">Account deletion</t>
  </si>
  <si>
    <t xml:space="preserve">Batch A: IMPL_EXISTING_TEST - TC-ACC-101..107, TC-ACC-301..309, purge.verification.integration.test.ts</t>
  </si>
  <si>
    <t xml:space="preserve">FR-SET-24</t>
  </si>
  <si>
    <t xml:space="preserve">Active sessions</t>
  </si>
  <si>
    <t xml:space="preserve">FR-SET-25</t>
  </si>
  <si>
    <t xml:space="preserve">Language placeholder and internationalisation readiness</t>
  </si>
  <si>
    <t xml:space="preserve">Inspection</t>
  </si>
  <si>
    <t xml:space="preserve">FR-SET-26</t>
  </si>
  <si>
    <t xml:space="preserve">About and diagnostics</t>
  </si>
  <si>
    <t xml:space="preserve">FR-SET-27</t>
  </si>
  <si>
    <t xml:space="preserve">Legal surfaces and re-consent</t>
  </si>
  <si>
    <t xml:space="preserve">Batch A: UNCLEAR - Check consent/re-consent in settings and account | Batch E: NOT_IMPL - consent_records table exists but is referenced only by the purge; no consent write or re-consent flow</t>
  </si>
  <si>
    <t xml:space="preserve">FR-SET-28</t>
  </si>
  <si>
    <t xml:space="preserve">Accessibility preference set</t>
  </si>
  <si>
    <t xml:space="preserve">FR-SET-29</t>
  </si>
  <si>
    <t xml:space="preserve">Reduced-motion application</t>
  </si>
  <si>
    <t xml:space="preserve">FR-SET-30</t>
  </si>
  <si>
    <t xml:space="preserve">Settings persistence and conflict handling</t>
  </si>
  <si>
    <t xml:space="preserve">FR-FIT-01</t>
  </si>
  <si>
    <t xml:space="preserve">Seeded activity-type catalogue</t>
  </si>
  <si>
    <t xml:space="preserve">fitness</t>
  </si>
  <si>
    <t xml:space="preserve">TC-FIT-101, TC-FIT-102</t>
  </si>
  <si>
    <t xml:space="preserve">FR-FIT-02</t>
  </si>
  <si>
    <t xml:space="preserve">User-defined activity types</t>
  </si>
  <si>
    <t xml:space="preserve">FR-FIT-03</t>
  </si>
  <si>
    <t xml:space="preserve">Create a workout entry</t>
  </si>
  <si>
    <t xml:space="preserve">TC-FIT-103, TC-FIT-104, TC-FIT-105, TC-FIT-106, TC-FIT-107, TC-FIT-108, TC-FIT-109, TC-FIT-110, TC-FIT-111, TC-FIT-117, TC-FIT-118</t>
  </si>
  <si>
    <t xml:space="preserve">FR-FIT-04</t>
  </si>
  <si>
    <t xml:space="preserve">Workout validation limits</t>
  </si>
  <si>
    <t xml:space="preserve">TC-FIT-103, TC-FIT-104, TC-FIT-105, TC-FIT-106, TC-FIT-107, TC-FIT-108, TC-FIT-109, TC-FIT-110, TC-FIT-111</t>
  </si>
  <si>
    <t xml:space="preserve">FR-FIT-05</t>
  </si>
  <si>
    <t xml:space="preserve">Energy-expenditure estimate</t>
  </si>
  <si>
    <t xml:space="preserve">TC-FIT-001, TC-FIT-002, TC-FIT-003, TC-FIT-004, TC-FIT-005, TC-FIT-006, TC-FIT-007, TC-FIT-103, TC-FIT-104, TC-FIT-105, TC-FIT-106, TC-FIT-107, TC-FIT-108, TC-FIT-109, TC-FIT-110, TC-FIT-111, TC-SYS-001, TC-SYS-002, TC-SYS-002b, TC-SYS-003, TC-SYS-004, TC-SYS-005, TC-SYS-006, TC-SYS-007, TC-SYS-008, TC-SYS-009, TC-SYS-010, TC-SYS-011</t>
  </si>
  <si>
    <t xml:space="preserve">FR-FIT-06</t>
  </si>
  <si>
    <t xml:space="preserve">Estimate presentation and disclaimer</t>
  </si>
  <si>
    <t xml:space="preserve">FR-FIT-07</t>
  </si>
  <si>
    <t xml:space="preserve">Edit a logged workout</t>
  </si>
  <si>
    <t xml:space="preserve">Batch A: NOT_IMPL - No PUT on fitness routes</t>
  </si>
  <si>
    <t xml:space="preserve">FR-FIT-08</t>
  </si>
  <si>
    <t xml:space="preserve">Delete a logged workout</t>
  </si>
  <si>
    <t xml:space="preserve">Batch A: NOT_IMPL - No DELETE on fitness routes</t>
  </si>
  <si>
    <t xml:space="preserve">FR-FIT-09</t>
  </si>
  <si>
    <t xml:space="preserve">Overlap detection</t>
  </si>
  <si>
    <t xml:space="preserve">FR-FIT-10</t>
  </si>
  <si>
    <t xml:space="preserve">Offline append-only fitness writes</t>
  </si>
  <si>
    <t xml:space="preserve">TC-SYS-421, TC-SYS-422, TC-SYS-423, TC-SYS-424, TC-SYS-425, TC-SYS-426, TC-SYS-427, TC-SYS-428, TC-SYS-429, TC-SYS-431, TC-SYS-432, TC-SYS-433, TC-SYS-434</t>
  </si>
  <si>
    <t xml:space="preserve">FR-FIT-11</t>
  </si>
  <si>
    <t xml:space="preserve">Seeded strength-exercise catalogue</t>
  </si>
  <si>
    <t xml:space="preserve">FR-FIT-12</t>
  </si>
  <si>
    <t xml:space="preserve">User-defined exercises</t>
  </si>
  <si>
    <t xml:space="preserve">FR-FIT-13</t>
  </si>
  <si>
    <t xml:space="preserve">Strength set logging</t>
  </si>
  <si>
    <t xml:space="preserve">TC-FIT-016, TC-FIT-017, TC-FIT-018, TC-FIT-019, TC-FIT-020, TC-FIT-021, TC-FIT-112, TC-FIT-113, TC-FIT-114, TC-FIT-115, TC-FIT-116</t>
  </si>
  <si>
    <t xml:space="preserve">FR-FIT-14</t>
  </si>
  <si>
    <t xml:space="preserve">Total training volume</t>
  </si>
  <si>
    <t xml:space="preserve">FR-FIT-15</t>
  </si>
  <si>
    <t xml:space="preserve">Personal-record detection</t>
  </si>
  <si>
    <t xml:space="preserve">TC-FIT-008, TC-FIT-009, TC-FIT-010, TC-FIT-011, TC-FIT-012, TC-FIT-013, TC-FIT-014, TC-FIT-015, TC-FIT-112, TC-FIT-113, TC-FIT-114, TC-FIT-115, TC-FIT-116</t>
  </si>
  <si>
    <t xml:space="preserve">FR-FIT-16</t>
  </si>
  <si>
    <t xml:space="preserve">Manual daily step entry</t>
  </si>
  <si>
    <t xml:space="preserve">Batch A: UNCLEAR - Steps in engagement/dashboard; no entry route | Batch E: NOT_IMPL - no steps table in migrations 001-007 and no route</t>
  </si>
  <si>
    <t xml:space="preserve">FR-FIT-17</t>
  </si>
  <si>
    <t xml:space="preserve">Foreground pedometer read</t>
  </si>
  <si>
    <t xml:space="preserve">v1.1+ Post-MVP</t>
  </si>
  <si>
    <t xml:space="preserve">FR-FIT-18</t>
  </si>
  <si>
    <t xml:space="preserve">Health-platform synchronisation excluded</t>
  </si>
  <si>
    <t xml:space="preserve">Wont</t>
  </si>
  <si>
    <t xml:space="preserve">FR-FIT-19</t>
  </si>
  <si>
    <t xml:space="preserve">Versioned fitness goals</t>
  </si>
  <si>
    <t xml:space="preserve">Batch A: UNCLEAR - Goals referenced in engagement/dashboard; no CRUD route | Batch E: NOT_IMPL - no goals table or route</t>
  </si>
  <si>
    <t xml:space="preserve">FR-FIT-20</t>
  </si>
  <si>
    <t xml:space="preserve">Historical goal resolution</t>
  </si>
  <si>
    <t xml:space="preserve">Batch A: UNCLEAR - Depends on FIT-19 | Batch E: NOT_IMPL - depends on FR-FIT-19</t>
  </si>
  <si>
    <t xml:space="preserve">FR-FIT-21</t>
  </si>
  <si>
    <t xml:space="preserve">Daily fitness-day verdict</t>
  </si>
  <si>
    <t xml:space="preserve">Batch A: IMPL_UNTESTED - engagementService references verdict</t>
  </si>
  <si>
    <t xml:space="preserve">FR-FIT-22</t>
  </si>
  <si>
    <t xml:space="preserve">Rest days</t>
  </si>
  <si>
    <t xml:space="preserve">FR-FIT-23</t>
  </si>
  <si>
    <t xml:space="preserve">Body-metric entries</t>
  </si>
  <si>
    <t xml:space="preserve">keyword found in code | Batch A: UNCLEAR - Body mass appears in workout energy only; no body-metric route | Batch E: NOT_IMPL - no body-metric table or route</t>
  </si>
  <si>
    <t xml:space="preserve">FR-FIT-24</t>
  </si>
  <si>
    <t xml:space="preserve">Progress charts and personal-record timeline</t>
  </si>
  <si>
    <t xml:space="preserve">TC-FIT-119, TC-FIT-120, TC-FIT-121</t>
  </si>
  <si>
    <t xml:space="preserve">FR-FIT-25</t>
  </si>
  <si>
    <t xml:space="preserve">Workout templates</t>
  </si>
  <si>
    <t xml:space="preserve">FR-FIT-26</t>
  </si>
  <si>
    <t xml:space="preserve">Copy the previous workout</t>
  </si>
  <si>
    <t xml:space="preserve">FR-GAM-01</t>
  </si>
  <si>
    <t xml:space="preserve">Per-module daily outcome evaluation</t>
  </si>
  <si>
    <t xml:space="preserve">gamification</t>
  </si>
  <si>
    <t xml:space="preserve">v0.5</t>
  </si>
  <si>
    <t xml:space="preserve">Batch A: IMPL_UNTESTED - engagementService; no per-FR test</t>
  </si>
  <si>
    <t xml:space="preserve">FR-GAM-02</t>
  </si>
  <si>
    <t xml:space="preserve">Day-boundary rollover pass</t>
  </si>
  <si>
    <t xml:space="preserve">Batch A: UNCLEAR - Rollover job not located | Batch E: NOT_IMPL - only two cron jobs exist (reminders, purge); no 15-minute rollover pass</t>
  </si>
  <si>
    <t xml:space="preserve">FR-GAM-03</t>
  </si>
  <si>
    <t xml:space="preserve">Streak counter maintenance</t>
  </si>
  <si>
    <t xml:space="preserve">TC-GAM-001, TC-GAM-002, TC-GAM-003, TC-GAM-004, TC-GAM-005, TC-GAM-006, TC-GAM-007, TC-GAM-008, TC-GAM-009, TC-GAM-010, TC-GAM-011, TC-GAM-012, TC-GAM-201, TC-GAM-202, TC-GAM-203, TC-GAM-204, TC-GAM-205, TC-GAM-206, TC-GAM-207, TC-GAM-208, TC-GAM-209, TC-GAM-210, TC-GAM-211</t>
  </si>
  <si>
    <t xml:space="preserve">FR-GAM-04</t>
  </si>
  <si>
    <t xml:space="preserve">Global streak over enabled and applicable modules</t>
  </si>
  <si>
    <t xml:space="preserve">v1.0</t>
  </si>
  <si>
    <t xml:space="preserve">Batch A: IMPL_EXISTING_TEST - shared streak.verification.test.ts (TC-GAM-*), review</t>
  </si>
  <si>
    <t xml:space="preserve">FR-GAM-05</t>
  </si>
  <si>
    <t xml:space="preserve">Streak break rule</t>
  </si>
  <si>
    <t xml:space="preserve">TC-GAM-001, TC-GAM-002, TC-GAM-003, TC-GAM-004, TC-GAM-005, TC-GAM-006, TC-GAM-007, TC-GAM-008, TC-GAM-009, TC-GAM-010, TC-GAM-011, TC-GAM-012</t>
  </si>
  <si>
    <t xml:space="preserve">FR-GAM-06</t>
  </si>
  <si>
    <t xml:space="preserve">Time-zone change and skipped local dates</t>
  </si>
  <si>
    <t xml:space="preserve">TC-GAM-013, TC-GAM-014, TC-GAM-015, TC-GAM-016, TC-GAM-017</t>
  </si>
  <si>
    <t xml:space="preserve">FR-GAM-07</t>
  </si>
  <si>
    <t xml:space="preserve">Streak freeze tokens</t>
  </si>
  <si>
    <t xml:space="preserve">v1.1</t>
  </si>
  <si>
    <t xml:space="preserve">FR-GAM-08</t>
  </si>
  <si>
    <t xml:space="preserve">Retroactive recomputation</t>
  </si>
  <si>
    <t xml:space="preserve">Batch A: IMPL_EXISTING_TEST - shared streak.verification.test.ts and sync tests, review</t>
  </si>
  <si>
    <t xml:space="preserve">FR-GAM-09</t>
  </si>
  <si>
    <t xml:space="preserve">Back-dating window and plausibility validation</t>
  </si>
  <si>
    <t xml:space="preserve">Batch A: IMPL_EXISTING_TEST - DEF-004 and streak tests; backdating window not asserted, review</t>
  </si>
  <si>
    <t xml:space="preserve">FR-GAM-10</t>
  </si>
  <si>
    <t xml:space="preserve">Server-only authority over gamification state</t>
  </si>
  <si>
    <t xml:space="preserve">Inspection, Test</t>
  </si>
  <si>
    <t xml:space="preserve">FR-GAM-11</t>
  </si>
  <si>
    <t xml:space="preserve">Seeded achievement catalogue</t>
  </si>
  <si>
    <t xml:space="preserve">TC-DAT-004, TC-DAT-005, TC-GAM-101, TC-GAM-102, TC-GAM-103, TC-GAM-104</t>
  </si>
  <si>
    <t xml:space="preserve">FR-GAM-12</t>
  </si>
  <si>
    <t xml:space="preserve">Definition versioning and non-revocation</t>
  </si>
  <si>
    <t xml:space="preserve">Batch A: NOT_IMPL - No definition versioning found</t>
  </si>
  <si>
    <t xml:space="preserve">FR-GAM-13</t>
  </si>
  <si>
    <t xml:space="preserve">Event-triggered achievement evaluation</t>
  </si>
  <si>
    <t xml:space="preserve">TC-GAM-101, TC-GAM-102, TC-GAM-103, TC-GAM-104</t>
  </si>
  <si>
    <t xml:space="preserve">FR-GAM-14</t>
  </si>
  <si>
    <t xml:space="preserve">Achievement progress tracking</t>
  </si>
  <si>
    <t xml:space="preserve">Batch A: IMPL_UNTESTED - achievementsRepo; progress not asserted</t>
  </si>
  <si>
    <t xml:space="preserve">FR-GAM-15</t>
  </si>
  <si>
    <t xml:space="preserve">Idempotent unlocking</t>
  </si>
  <si>
    <t xml:space="preserve">FR-GAM-16</t>
  </si>
  <si>
    <t xml:space="preserve">Unlock experience</t>
  </si>
  <si>
    <t xml:space="preserve">Demonstration, Test</t>
  </si>
  <si>
    <t xml:space="preserve">TC-GAM-201, TC-GAM-202, TC-GAM-203, TC-GAM-204, TC-GAM-205, TC-GAM-206, TC-GAM-207, TC-GAM-208, TC-GAM-209, TC-GAM-210, TC-GAM-211</t>
  </si>
  <si>
    <t xml:space="preserve">FR-GAM-17</t>
  </si>
  <si>
    <t xml:space="preserve">Trophy gallery</t>
  </si>
  <si>
    <t xml:space="preserve">TC-GAM-101, TC-GAM-102, TC-GAM-103, TC-GAM-104, TC-GAM-201, TC-GAM-202, TC-GAM-203, TC-GAM-204, TC-GAM-205, TC-GAM-206, TC-GAM-207, TC-GAM-208, TC-GAM-209, TC-GAM-210, TC-GAM-211</t>
  </si>
  <si>
    <t xml:space="preserve">FR-GAM-18</t>
  </si>
  <si>
    <t xml:space="preserve">Weekly recap</t>
  </si>
  <si>
    <t xml:space="preserve">FR-NOT-01</t>
  </si>
  <si>
    <t xml:space="preserve">Reminder dispatch pass</t>
  </si>
  <si>
    <t xml:space="preserve">notifications</t>
  </si>
  <si>
    <t xml:space="preserve">v0.1</t>
  </si>
  <si>
    <t xml:space="preserve">TC-NOT-114, TC-NOT-115, TC-NOT-116, TC-NOT-117, TC-NOT-118, TC-NOT-119, TC-NOT-120, TC-NOT-121</t>
  </si>
  <si>
    <t xml:space="preserve">FR-NOT-02</t>
  </si>
  <si>
    <t xml:space="preserve">Planner pass and idempotent materialisation</t>
  </si>
  <si>
    <t xml:space="preserve">v0.1 for `PLANT_WATERING`; all remaining categories in v0.5</t>
  </si>
  <si>
    <t xml:space="preserve">TC-NOT-101, TC-NOT-102, TC-NOT-103, TC-NOT-104, TC-NOT-105, TC-NOT-106</t>
  </si>
  <si>
    <t xml:space="preserve">FR-NOT-03</t>
  </si>
  <si>
    <t xml:space="preserve">Per-channel delivery status machine</t>
  </si>
  <si>
    <t xml:space="preserve">Batch A: IMPL_UNTESTED - reminderEngine/remindersRepo; status machine not asserted</t>
  </si>
  <si>
    <t xml:space="preserve">FR-NOT-04</t>
  </si>
  <si>
    <t xml:space="preserve">Per-category enable and disable</t>
  </si>
  <si>
    <t xml:space="preserve">Batch A: UNCLEAR - Check settings category flags | Batch E: NOT_IMPL - no per-category enable flags</t>
  </si>
  <si>
    <t xml:space="preserve">FR-NOT-05</t>
  </si>
  <si>
    <t xml:space="preserve">Preferred local delivery time per category</t>
  </si>
  <si>
    <t xml:space="preserve">Batch A: UNCLEAR - Check preferred time storage | Batch E: NOT_IMPL - reminders table has due_at_utc only; no preferred local time per category</t>
  </si>
  <si>
    <t xml:space="preserve">FR-NOT-06</t>
  </si>
  <si>
    <t xml:space="preserve">Quiet hours with cross-midnight support</t>
  </si>
  <si>
    <t xml:space="preserve">TC-NOT-107, TC-NOT-108, TC-NOT-109, TC-NOT-110, TC-NOT-111, TC-NOT-112, TC-NOT-113, TC-NOT-113b</t>
  </si>
  <si>
    <t xml:space="preserve">FR-NOT-07</t>
  </si>
  <si>
    <t xml:space="preserve">Global do-not-disturb</t>
  </si>
  <si>
    <t xml:space="preserve">FR-NOT-08</t>
  </si>
  <si>
    <t xml:space="preserve">UTC storage and IANA local-time resolution</t>
  </si>
  <si>
    <t xml:space="preserve">FR-NOT-09</t>
  </si>
  <si>
    <t xml:space="preserve">Timezone-change re-materialisation</t>
  </si>
  <si>
    <t xml:space="preserve">Batch A: IMPL_UNTESTED - reminderEngine timezone re-materialisation; DEF-015 related</t>
  </si>
  <si>
    <t xml:space="preserve">FR-NOT-10</t>
  </si>
  <si>
    <t xml:space="preserve">Staleness cut-off</t>
  </si>
  <si>
    <t xml:space="preserve">Batch A: IMPL_UNTESTED - reminderEngine stale cutoff; reminderEngine.verification.test.ts partly covers, review</t>
  </si>
  <si>
    <t xml:space="preserve">FR-NOT-11</t>
  </si>
  <si>
    <t xml:space="preserve">Health and scheduler-liveness endpoints</t>
  </si>
  <si>
    <t xml:space="preserve">TC-NOT-301, TC-NOT-302</t>
  </si>
  <si>
    <t xml:space="preserve">Batch A: IMPL_EXISTING_TEST - /healthz and /readyz exist; app.readyz.test.ts, scheduler liveness unverified</t>
  </si>
  <si>
    <t xml:space="preserve">FR-NOT-12</t>
  </si>
  <si>
    <t xml:space="preserve">Daily push cap</t>
  </si>
  <si>
    <t xml:space="preserve">FR-NOT-13</t>
  </si>
  <si>
    <t xml:space="preserve">Grouped notifications</t>
  </si>
  <si>
    <t xml:space="preserve">FR-NOT-14</t>
  </si>
  <si>
    <t xml:space="preserve">Device push token registration and refresh</t>
  </si>
  <si>
    <t xml:space="preserve">TC-NOT-001, TC-NOT-002, TC-NOT-003</t>
  </si>
  <si>
    <t xml:space="preserve">FR-NOT-15</t>
  </si>
  <si>
    <t xml:space="preserve">Device push token revocation and pruning</t>
  </si>
  <si>
    <t xml:space="preserve">TC-NOT-207, TC-NOT-208</t>
  </si>
  <si>
    <t xml:space="preserve">Batch A: UNCLEAR - devicesRoutes has POST only; no revoke route found | Batch E: IMPL_UNTESTED - sendPushMessages returns notRegistered (tested); persistence of the revoke in reminderService not tested</t>
  </si>
  <si>
    <t xml:space="preserve">FR-NOT-16</t>
  </si>
  <si>
    <t xml:space="preserve">Chunked submission to the push provider</t>
  </si>
  <si>
    <t xml:space="preserve">TC-NOT-201, TC-NOT-202, TC-NOT-203, TC-NOT-204, TC-NOT-205, TC-NOT-206, TC-NOT-209, TC-NOT-210</t>
  </si>
  <si>
    <t xml:space="preserve">Batch A: IMPL_UNTESTED - notifications/expoPush.ts chunking exists; no test</t>
  </si>
  <si>
    <t xml:space="preserve">FR-NOT-17</t>
  </si>
  <si>
    <t xml:space="preserve">Receipt reconciliation pass</t>
  </si>
  <si>
    <t xml:space="preserve">Batch A: NOT_IMPL - No receipt handling found</t>
  </si>
  <si>
    <t xml:space="preserve">FR-NOT-18</t>
  </si>
  <si>
    <t xml:space="preserve">Retry with exponential backoff</t>
  </si>
  <si>
    <t xml:space="preserve">FR-NOT-19</t>
  </si>
  <si>
    <t xml:space="preserve">Deep links</t>
  </si>
  <si>
    <t xml:space="preserve">FR-NOT-20</t>
  </si>
  <si>
    <t xml:space="preserve">In-app notification centre</t>
  </si>
  <si>
    <t xml:space="preserve">FR-NOT-21</t>
  </si>
  <si>
    <t xml:space="preserve">Quick actions and snooze</t>
  </si>
  <si>
    <t xml:space="preserve">FR-NOT-22</t>
  </si>
  <si>
    <t xml:space="preserve">Lifecycle cancellation</t>
  </si>
  <si>
    <t xml:space="preserve">Batch A: IMPL_UNTESTED - remindersRepo/purgeService cancel on delete; check lifecycle cases</t>
  </si>
  <si>
    <t xml:space="preserve">FR-NOT-23</t>
  </si>
  <si>
    <t xml:space="preserve">Email digest</t>
  </si>
  <si>
    <t xml:space="preserve">FR-NOT-24</t>
  </si>
  <si>
    <t xml:space="preserve">Send test notification</t>
  </si>
  <si>
    <t xml:space="preserve">FR-NUT-01</t>
  </si>
  <si>
    <t xml:space="preserve">Create a meal entry</t>
  </si>
  <si>
    <t xml:space="preserve">nutrition</t>
  </si>
  <si>
    <t xml:space="preserve">TC-NUT-111, TC-NUT-112, TC-NUT-113, TC-NUT-114, TC-NUT-115, TC-NUT-116, TC-NUT-117, TC-NUT-117b, TC-NUT-117c</t>
  </si>
  <si>
    <t xml:space="preserve">FR-NUT-02</t>
  </si>
  <si>
    <t xml:space="preserve">Canonical grams conversion</t>
  </si>
  <si>
    <t xml:space="preserve">Batch A: IMPL_EXISTING_TEST - shared nutrition/fitness verification tests (TC-NUT-1..16), review</t>
  </si>
  <si>
    <t xml:space="preserve">FR-NUT-03</t>
  </si>
  <si>
    <t xml:space="preserve">Per-entry nutrition computation and snapshot</t>
  </si>
  <si>
    <t xml:space="preserve">TC-NUT-017, TC-NUT-018, TC-NUT-019, TC-NUT-111, TC-NUT-112, TC-NUT-113, TC-NUT-114, TC-NUT-115, TC-NUT-116, TC-NUT-117, TC-NUT-117b, TC-NUT-117c</t>
  </si>
  <si>
    <t xml:space="preserve">FR-NUT-04</t>
  </si>
  <si>
    <t xml:space="preserve">Edit a meal entry</t>
  </si>
  <si>
    <t xml:space="preserve">Batch A: NOT_IMPL - No meal PUT route</t>
  </si>
  <si>
    <t xml:space="preserve">FR-NUT-05</t>
  </si>
  <si>
    <t xml:space="preserve">Delete a meal entry</t>
  </si>
  <si>
    <t xml:space="preserve">Batch A: NOT_IMPL - No meal DELETE route</t>
  </si>
  <si>
    <t xml:space="preserve">FR-NUT-06</t>
  </si>
  <si>
    <t xml:space="preserve">Offline queued nutrition writes</t>
  </si>
  <si>
    <t xml:space="preserve">FR-NUT-07</t>
  </si>
  <si>
    <t xml:space="preserve">Seeded food catalogue</t>
  </si>
  <si>
    <t xml:space="preserve">TC-NUT-101, TC-NUT-102, TC-NUT-103, TC-NUT-104</t>
  </si>
  <si>
    <t xml:space="preserve">FR-NUT-08</t>
  </si>
  <si>
    <t xml:space="preserve">Food search</t>
  </si>
  <si>
    <t xml:space="preserve">FR-NUT-09</t>
  </si>
  <si>
    <t xml:space="preserve">Favourites and recently used quick-add</t>
  </si>
  <si>
    <t xml:space="preserve">FR-NUT-10</t>
  </si>
  <si>
    <t xml:space="preserve">Create and edit a custom food</t>
  </si>
  <si>
    <t xml:space="preserve">TC-NUT-105, TC-NUT-106, TC-NUT-107, TC-NUT-108, TC-NUT-109, TC-NUT-110</t>
  </si>
  <si>
    <t xml:space="preserve">FR-NUT-11</t>
  </si>
  <si>
    <t xml:space="preserve">Soft-delete a food while preserving history</t>
  </si>
  <si>
    <t xml:space="preserve">FR-NUT-12</t>
  </si>
  <si>
    <t xml:space="preserve">Open Food Facts text search</t>
  </si>
  <si>
    <t xml:space="preserve">FR-NUT-13</t>
  </si>
  <si>
    <t xml:space="preserve">Barcode lookup</t>
  </si>
  <si>
    <t xml:space="preserve">FR-NUT-14</t>
  </si>
  <si>
    <t xml:space="preserve">Map and screen external product data</t>
  </si>
  <si>
    <t xml:space="preserve">FR-NUT-15</t>
  </si>
  <si>
    <t xml:space="preserve">Cache and attribute external product data</t>
  </si>
  <si>
    <t xml:space="preserve">FR-NUT-16</t>
  </si>
  <si>
    <t xml:space="preserve">Basal metabolic rate and total daily energy expenditure</t>
  </si>
  <si>
    <t xml:space="preserve">TC-NUT-001, TC-NUT-002, TC-NUT-003, TC-NUT-004, TC-NUT-005, TC-NUT-006, TC-NUT-007, TC-NUT-008, TC-NUT-009, TC-NUT-010, TC-NUT-011, TC-NUT-012, TC-NUT-013, TC-NUT-014, TC-NUT-015, TC-NUT-016, TC-SYS-001, TC-SYS-002, TC-SYS-002b, TC-SYS-003, TC-SYS-004, TC-SYS-005, TC-SYS-006, TC-SYS-007, TC-SYS-008, TC-SYS-009, TC-SYS-010, TC-SYS-011</t>
  </si>
  <si>
    <t xml:space="preserve">FR-NUT-17</t>
  </si>
  <si>
    <t xml:space="preserve">Derive the daily calorie target</t>
  </si>
  <si>
    <t xml:space="preserve">Batch A: IMPL_EXISTING_TEST - shared nutrition.verification.test.ts TC-NUT-17..19, review</t>
  </si>
  <si>
    <t xml:space="preserve">FR-NUT-18</t>
  </si>
  <si>
    <t xml:space="preserve">Manual calorie target override</t>
  </si>
  <si>
    <t xml:space="preserve">FR-NUT-19</t>
  </si>
  <si>
    <t xml:space="preserve">Macronutrient split targets</t>
  </si>
  <si>
    <t xml:space="preserve">FR-NUT-20</t>
  </si>
  <si>
    <t xml:space="preserve">Daily nutrition summary</t>
  </si>
  <si>
    <t xml:space="preserve">TC-NUT-118, TC-NUT-119, TC-NUT-120, TC-NUT-121</t>
  </si>
  <si>
    <t xml:space="preserve">FR-NUT-21</t>
  </si>
  <si>
    <t xml:space="preserve">Micronutrient totals for fibre, sugar and sodium</t>
  </si>
  <si>
    <t xml:space="preserve">FR-NUT-22</t>
  </si>
  <si>
    <t xml:space="preserve">Exercise-calorie credit toggle</t>
  </si>
  <si>
    <t xml:space="preserve">FR-NUT-23</t>
  </si>
  <si>
    <t xml:space="preserve">Water intake logging</t>
  </si>
  <si>
    <t xml:space="preserve">TC-NUT-122, TC-NUT-123</t>
  </si>
  <si>
    <t xml:space="preserve">FR-NUT-24</t>
  </si>
  <si>
    <t xml:space="preserve">Hydration goal</t>
  </si>
  <si>
    <t xml:space="preserve">TC-NUT-014, TC-NUT-015, TC-NUT-016</t>
  </si>
  <si>
    <t xml:space="preserve">FR-NUT-25</t>
  </si>
  <si>
    <t xml:space="preserve">Define a recipe</t>
  </si>
  <si>
    <t xml:space="preserve">FR-NUT-26</t>
  </si>
  <si>
    <t xml:space="preserve">Log a recipe in one action</t>
  </si>
  <si>
    <t xml:space="preserve">FR-NUT-27</t>
  </si>
  <si>
    <t xml:space="preserve">Copy a meal or a whole day</t>
  </si>
  <si>
    <t xml:space="preserve">FR-NUT-28</t>
  </si>
  <si>
    <t xml:space="preserve">Nutrition trends</t>
  </si>
  <si>
    <t xml:space="preserve">FR-PLT-01</t>
  </si>
  <si>
    <t xml:space="preserve">Seeded species catalogue</t>
  </si>
  <si>
    <t xml:space="preserve">plant-care</t>
  </si>
  <si>
    <t xml:space="preserve">TC-DAT-004, TC-DAT-005, TC-PLT-101, TC-PLT-102</t>
  </si>
  <si>
    <t xml:space="preserve">FR-PLT-02</t>
  </si>
  <si>
    <t xml:space="preserve">Species catalogue search</t>
  </si>
  <si>
    <t xml:space="preserve">TC-PLT-101, TC-PLT-102, TC-PLT-103, TC-PLT-104</t>
  </si>
  <si>
    <t xml:space="preserve">FR-PLT-03</t>
  </si>
  <si>
    <t xml:space="preserve">Create a custom species</t>
  </si>
  <si>
    <t xml:space="preserve">FR-PLT-04</t>
  </si>
  <si>
    <t xml:space="preserve">Perenual species enrichment</t>
  </si>
  <si>
    <t xml:space="preserve">FR-PLT-05</t>
  </si>
  <si>
    <t xml:space="preserve">Create a plant</t>
  </si>
  <si>
    <t xml:space="preserve">TC-PLT-105, TC-PLT-106, TC-PLT-107, TC-PLT-108, TC-PLT-109, TC-PLT-110, TC-PLT-127</t>
  </si>
  <si>
    <t xml:space="preserve">FR-PLT-06</t>
  </si>
  <si>
    <t xml:space="preserve">Edit a plant</t>
  </si>
  <si>
    <t xml:space="preserve">TC-PLT-111, TC-PLT-112, TC-PLT-113, TC-PLT-114</t>
  </si>
  <si>
    <t xml:space="preserve">FR-PLT-07</t>
  </si>
  <si>
    <t xml:space="preserve">Effective watering interval computation</t>
  </si>
  <si>
    <t xml:space="preserve">TC-PLT-001, TC-PLT-002, TC-PLT-003, TC-PLT-004, TC-PLT-005, TC-PLT-006, TC-PLT-007, TC-PLT-008, TC-PLT-009, TC-PLT-010, TC-PLT-011, TC-PLT-012, TC-PLT-013, TC-PLT-014, TC-PLT-015, TC-PLT-016, TC-PLT-017, TC-PLT-018, TC-PLT-019, TC-PLT-020, TC-PLT-021, TC-PLT-022, TC-PLT-023, TC-PLT-024, TC-PLT-025, TC-PLT-026, TC-PLT-027, TC-PLT-028, TC-PLT-029, TC-PLT-030, TC-PLT-031, TC-PLT-032, TC-PLT-115, TC-PLT-115b, TC-SYS-001, TC-SYS-002, TC-SYS-002b, TC-SYS-003, TC-SYS-004, TC-SYS-005, TC-SYS-006, TC-SYS-007, TC-SYS-008, TC-SYS-009, TC-SYS-010, TC-SYS-011</t>
  </si>
  <si>
    <t xml:space="preserve">FR-PLT-08</t>
  </si>
  <si>
    <t xml:space="preserve">Next watering due instant</t>
  </si>
  <si>
    <t xml:space="preserve">TC-PLT-115, TC-PLT-115b</t>
  </si>
  <si>
    <t xml:space="preserve">FR-PLT-09</t>
  </si>
  <si>
    <t xml:space="preserve">Schedule recomputation triggers</t>
  </si>
  <si>
    <t xml:space="preserve">FR-PLT-10</t>
  </si>
  <si>
    <t xml:space="preserve">Log a watering now</t>
  </si>
  <si>
    <t xml:space="preserve">TC-PLT-117, TC-PLT-118, TC-PLT-118b, TC-PLT-119, TC-PLT-120, TC-PLT-121</t>
  </si>
  <si>
    <t xml:space="preserve">FR-PLT-11</t>
  </si>
  <si>
    <t xml:space="preserve">Log a back-dated watering</t>
  </si>
  <si>
    <t xml:space="preserve">FR-PLT-12</t>
  </si>
  <si>
    <t xml:space="preserve">Snooze a watering</t>
  </si>
  <si>
    <t xml:space="preserve">FR-PLT-13</t>
  </si>
  <si>
    <t xml:space="preserve">Skip a watering cycle with a reason</t>
  </si>
  <si>
    <t xml:space="preserve">FR-PLT-14</t>
  </si>
  <si>
    <t xml:space="preserve">Bulk water selected plants</t>
  </si>
  <si>
    <t xml:space="preserve">FR-PLT-15</t>
  </si>
  <si>
    <t xml:space="preserve">Correct or delete a watering event</t>
  </si>
  <si>
    <t xml:space="preserve">FR-PLT-16</t>
  </si>
  <si>
    <t xml:space="preserve">Watering urgency tier</t>
  </si>
  <si>
    <t xml:space="preserve">Batch A: UNCLEAR - Urgency in reminderEngine/dashboard; tier thresholds not located | Batch E: CLIENT_CHECK - no urgency tier in API or shared; web shows a watering level tone, verify by demonstration</t>
  </si>
  <si>
    <t xml:space="preserve">FR-PLT-17</t>
  </si>
  <si>
    <t xml:space="preserve">Plant health status derivation</t>
  </si>
  <si>
    <t xml:space="preserve">Batch A: NOT_IMPL - Only enum found; no derivation code</t>
  </si>
  <si>
    <t xml:space="preserve">FR-PLT-18</t>
  </si>
  <si>
    <t xml:space="preserve">Care task types, cadence and per-plant enablement</t>
  </si>
  <si>
    <t xml:space="preserve">FR-PLT-19</t>
  </si>
  <si>
    <t xml:space="preserve">Complete or skip a care task occurrence</t>
  </si>
  <si>
    <t xml:space="preserve">FR-PLT-20</t>
  </si>
  <si>
    <t xml:space="preserve">Create a growth log entry</t>
  </si>
  <si>
    <t xml:space="preserve">TC-PLT-122, TC-PLT-123, TC-PLT-124, TC-PLT-125, TC-PLT-125b, TC-PLT-126</t>
  </si>
  <si>
    <t xml:space="preserve">FR-PLT-21</t>
  </si>
  <si>
    <t xml:space="preserve">Growth photo timeline</t>
  </si>
  <si>
    <t xml:space="preserve">FR-PLT-22</t>
  </si>
  <si>
    <t xml:space="preserve">Before-and-after comparison</t>
  </si>
  <si>
    <t xml:space="preserve">FR-PLT-23</t>
  </si>
  <si>
    <t xml:space="preserve">Plant history chart</t>
  </si>
  <si>
    <t xml:space="preserve">FR-PLT-24</t>
  </si>
  <si>
    <t xml:space="preserve">Watering adherence percentage</t>
  </si>
  <si>
    <t xml:space="preserve">FR-PLT-25</t>
  </si>
  <si>
    <t xml:space="preserve">Contextual species care tip</t>
  </si>
  <si>
    <t xml:space="preserve">FR-PLT-26</t>
  </si>
  <si>
    <t xml:space="preserve">Vacation mode</t>
  </si>
  <si>
    <t xml:space="preserve">FR-PLT-27</t>
  </si>
  <si>
    <t xml:space="preserve">Archive, restore and delete a plant</t>
  </si>
  <si>
    <t xml:space="preserve">TC-PLT-116</t>
  </si>
  <si>
    <t xml:space="preserve">FR-PLT-28</t>
  </si>
  <si>
    <t xml:space="preserve">Plant list with search, filter and sort</t>
  </si>
  <si>
    <t xml:space="preserve">TC-PLT-111, TC-PLT-112, TC-PLT-113</t>
  </si>
  <si>
    <t xml:space="preserve">FR-SYS-01</t>
  </si>
  <si>
    <t xml:space="preserve">Persistent local read cache</t>
  </si>
  <si>
    <t xml:space="preserve">platform-and-sync</t>
  </si>
  <si>
    <t xml:space="preserve">Batch A: UNCLEAR - Mobile cache; no screen tests | Batch E: CLIENT_CHECK - mobile cache and outbox; verify on device</t>
  </si>
  <si>
    <t xml:space="preserve">FR-SYS-02</t>
  </si>
  <si>
    <t xml:space="preserve">Offline write outbox</t>
  </si>
  <si>
    <t xml:space="preserve">TC-SYS-101, TC-SYS-102, TC-SYS-103, TC-SYS-104, TC-SYS-105, TC-SYS-106, TC-SYS-107, TC-SYS-108, TC-SYS-109, TC-SYS-110, TC-SYS-111, TC-SYS-112, TC-SYS-113, TC-SYS-114, TC-SYS-115, TC-SYS-421, TC-SYS-422, TC-SYS-423, TC-SYS-424, TC-SYS-425, TC-SYS-426, TC-SYS-427, TC-SYS-428, TC-SYS-429, TC-SYS-431, TC-SYS-432, TC-SYS-433, TC-SYS-434</t>
  </si>
  <si>
    <t xml:space="preserve">FR-SYS-03</t>
  </si>
  <si>
    <t xml:space="preserve">Idempotent server-side upsert</t>
  </si>
  <si>
    <t xml:space="preserve">TC-NUT-111, TC-NUT-112, TC-NUT-113, TC-NUT-114, TC-NUT-115, TC-NUT-116, TC-NUT-117, TC-NUT-117b, TC-NUT-117c, TC-SYS-101, TC-SYS-102, TC-SYS-103, TC-SYS-104, TC-SYS-105, TC-SYS-106, TC-SYS-107, TC-SYS-108, TC-SYS-109, TC-SYS-110, TC-SYS-111, TC-SYS-112, TC-SYS-113, TC-SYS-114, TC-SYS-115, TC-SYS-411, TC-SYS-412, TC-SYS-413, TC-SYS-414, TC-SYS-415</t>
  </si>
  <si>
    <t xml:space="preserve">FR-SYS-04</t>
  </si>
  <si>
    <t xml:space="preserve">Outbox drain ordering, triggers and concurrency</t>
  </si>
  <si>
    <t xml:space="preserve">TC-SYS-101, TC-SYS-102, TC-SYS-103, TC-SYS-104, TC-SYS-105, TC-SYS-106, TC-SYS-107, TC-SYS-108, TC-SYS-109, TC-SYS-110, TC-SYS-111, TC-SYS-112, TC-SYS-113, TC-SYS-114, TC-SYS-115</t>
  </si>
  <si>
    <t xml:space="preserve">FR-SYS-05</t>
  </si>
  <si>
    <t xml:space="preserve">Retry, backoff and failure classification</t>
  </si>
  <si>
    <t xml:space="preserve">FR-SYS-06</t>
  </si>
  <si>
    <t xml:space="preserve">Visible sync state and the needs-attention queue</t>
  </si>
  <si>
    <t xml:space="preserve">FR-SYS-07</t>
  </si>
  <si>
    <t xml:space="preserve">Connectivity-required operation guardrails</t>
  </si>
  <si>
    <t xml:space="preserve">FR-SYS-08</t>
  </si>
  <si>
    <t xml:space="preserve">Delta synchronisation endpoint</t>
  </si>
  <si>
    <t xml:space="preserve">keyword found in code | Batch A: NOT_IMPL - Only POST /sync/outbox</t>
  </si>
  <si>
    <t xml:space="preserve">FR-SYS-09</t>
  </si>
  <si>
    <t xml:space="preserve">Full resynchronisation</t>
  </si>
  <si>
    <t xml:space="preserve">Batch A: NOT_IMPL - No resync route</t>
  </si>
  <si>
    <t xml:space="preserve">FR-SYS-10</t>
  </si>
  <si>
    <t xml:space="preserve">Client-side image transform</t>
  </si>
  <si>
    <t xml:space="preserve">Batch A: UNCLEAR - Client-side image transform not located | Batch E: NOT_IMPL - no client image transform; also no upload pipeline (DEF-018)</t>
  </si>
  <si>
    <t xml:space="preserve">FR-SYS-11</t>
  </si>
  <si>
    <t xml:space="preserve">Signed upload URL and finalisation</t>
  </si>
  <si>
    <t xml:space="preserve">TC-SYS-601, TC-SYS-602, TC-SYS-603 (fail: DEF-018)</t>
  </si>
  <si>
    <t xml:space="preserve">keyword found in code | Batch A: NOT_IMPL - No upload route; DEF-018</t>
  </si>
  <si>
    <t xml:space="preserve">FR-SYS-12</t>
  </si>
  <si>
    <t xml:space="preserve">Storage layout, variants and delivery</t>
  </si>
  <si>
    <t xml:space="preserve">Batch A: NOT_IMPL - No storage layer; DEF-018</t>
  </si>
  <si>
    <t xml:space="preserve">FR-SYS-13</t>
  </si>
  <si>
    <t xml:space="preserve">Orphan and deleted-entity media cleanup</t>
  </si>
  <si>
    <t xml:space="preserve">FR-SYS-14</t>
  </si>
  <si>
    <t xml:space="preserve">Media storage quota enforcement</t>
  </si>
  <si>
    <t xml:space="preserve">Batch A: NOT_IMPL - No quota code</t>
  </si>
  <si>
    <t xml:space="preserve">FR-SYS-15</t>
  </si>
  <si>
    <t xml:space="preserve">Feature-flag registry and client configuration</t>
  </si>
  <si>
    <t xml:space="preserve">Batch A: NOT_IMPL - No feature-flag registry found</t>
  </si>
  <si>
    <t xml:space="preserve">FR-SYS-16</t>
  </si>
  <si>
    <t xml:space="preserve">External integration call policy and caching</t>
  </si>
  <si>
    <t xml:space="preserve">FR-SYS-17</t>
  </si>
  <si>
    <t xml:space="preserve">Graceful degradation, provenance and attribution</t>
  </si>
  <si>
    <t xml:space="preserve">FR-SYS-18</t>
  </si>
  <si>
    <t xml:space="preserve">API surface conventions and request identity</t>
  </si>
  <si>
    <t xml:space="preserve">TC-SYS-201, TC-SYS-202, TC-SYS-203, TC-SYS-204, TC-SYS-205, TC-SYS-207, TC-SYS-208, TC-SYS-209</t>
  </si>
  <si>
    <t xml:space="preserve">FR-SYS-19</t>
  </si>
  <si>
    <t xml:space="preserve">Uniform error envelope</t>
  </si>
  <si>
    <t xml:space="preserve">TC-SYS-201, TC-SYS-202, TC-SYS-203, TC-SYS-204, TC-SYS-205, TC-SYS-212, TC-SYS-301, TC-SYS-302, TC-SYS-303, TC-SYS-304, TC-SYS-305, TC-SYS-501, TC-SYS-502, TC-SYS-503, TC-SYS-504, TC-SYS-505, TC-SYS-506, TC-SYS-507, TC-SYS-508, TC-SYS-509, TC-SYS-510, TC-SYS-511, TC-SYS-512, TC-SYS-513, TC-SYS-514</t>
  </si>
  <si>
    <t xml:space="preserve">FR-SYS-20</t>
  </si>
  <si>
    <t xml:space="preserve">Pagination, filtering and sorting</t>
  </si>
  <si>
    <t xml:space="preserve">Batch A: UNCLEAR - Plants list has paging params; other lists unchecked | Batch E: PARTIAL - only the fitness list takes limit and offset (default 20); other lists unpaginated; no cursor or sort</t>
  </si>
  <si>
    <t xml:space="preserve">FR-SYS-21</t>
  </si>
  <si>
    <t xml:space="preserve">Rate limits and request size limits</t>
  </si>
  <si>
    <t xml:space="preserve">TC-SEC-101, TC-SEC-102, TC-SEC-103, TC-SEC-104, TC-SEC-105, TC-SEC-106, TC-SYS-206</t>
  </si>
  <si>
    <t xml:space="preserve">FR-SYS-22</t>
  </si>
  <si>
    <t xml:space="preserve">Data hygiene invariants</t>
  </si>
  <si>
    <t xml:space="preserve">TC-DAT-006, TC-DAT-007, TC-SYS-401, TC-SYS-402, TC-SYS-403, TC-SYS-404</t>
  </si>
  <si>
    <t xml:space="preserve">FR-SYS-23</t>
  </si>
  <si>
    <t xml:space="preserve">Cross-module search</t>
  </si>
  <si>
    <t xml:space="preserve">FR-SYS-24</t>
  </si>
  <si>
    <t xml:space="preserve">Account data export</t>
  </si>
  <si>
    <t xml:space="preserve">FR-SYS-25</t>
  </si>
  <si>
    <t xml:space="preserve">Health, readiness and keep-alive</t>
  </si>
  <si>
    <t xml:space="preserve">TC-SYS-210, TC-SYS-211</t>
  </si>
  <si>
    <t xml:space="preserve">FR-SYS-26</t>
  </si>
  <si>
    <t xml:space="preserve">Migrations and seed data</t>
  </si>
  <si>
    <t xml:space="preserve">TC-DAT-001, TC-DAT-002, TC-DAT-003</t>
  </si>
  <si>
    <t xml:space="preserve">Test ID</t>
  </si>
  <si>
    <t xml:space="preserve">Title (first variant)</t>
  </si>
  <si>
    <t xml:space="preserve">File</t>
  </si>
  <si>
    <t xml:space="preserve">Level</t>
  </si>
  <si>
    <t xml:space="preserve">Variants</t>
  </si>
  <si>
    <t xml:space="preserve">Proves defect</t>
  </si>
  <si>
    <t xml:space="preserve">TC-ACC-001</t>
  </si>
  <si>
    <t xml:space="preserve">TC-ACC-001 accepts a valid registration with 202</t>
  </si>
  <si>
    <t xml:space="preserve">auth.verification.integration.test.ts</t>
  </si>
  <si>
    <t xml:space="preserve">ACC</t>
  </si>
  <si>
    <t xml:space="preserve">Integration / API (grey-box, real PostgreSQL)</t>
  </si>
  <si>
    <t xml:space="preserve">TC-ACC-002</t>
  </si>
  <si>
    <t xml:space="preserve">TC-ACC-002 rejects missing email with 422 and names the field</t>
  </si>
  <si>
    <t xml:space="preserve">TC-ACC-003</t>
  </si>
  <si>
    <t xml:space="preserve">TC-ACC-003 rejects an email longer than 254 characters</t>
  </si>
  <si>
    <t xml:space="preserve">TC-ACC-004</t>
  </si>
  <si>
    <t xml:space="preserve">TC-ACC-004 collects every failure in one response (BR-ACC / FR-ACC-01 step 2)</t>
  </si>
  <si>
    <t xml:space="preserve">TC-ACC-005</t>
  </si>
  <si>
    <t xml:space="preserve">TC-ACC-005 a 11-character password returns 422</t>
  </si>
  <si>
    <t xml:space="preserve">TC-ACC-006</t>
  </si>
  <si>
    <t xml:space="preserve">TC-ACC-006 [DEF-005] rejects a 12-character password with a single character class (clause 3)</t>
  </si>
  <si>
    <t xml:space="preserve">DEF-005</t>
  </si>
  <si>
    <t xml:space="preserve">TC-ACC-007</t>
  </si>
  <si>
    <t xml:space="preserve">TC-ACC-007 [DEF-005] rejects a password with 5 or more repeated characters (clause 5)</t>
  </si>
  <si>
    <t xml:space="preserve">TC-ACC-008</t>
  </si>
  <si>
    <t xml:space="preserve">TC-ACC-008 [DEF-005] rejects a whitespace-only password (clause 4)</t>
  </si>
  <si>
    <t xml:space="preserve">TC-ACC-009</t>
  </si>
  <si>
    <t xml:space="preserve">TC-ACC-009 registering an existing address returns the same status and body as a new one</t>
  </si>
  <si>
    <t xml:space="preserve">TC-ACC-010</t>
  </si>
  <si>
    <t xml:space="preserve">TC-ACC-010 login with a wrong password and login with an unknown address are indistinguishable</t>
  </si>
  <si>
    <t xml:space="preserve">TC-ACC-011</t>
  </si>
  <si>
    <t xml:space="preserve">TC-ACC-011 both failure paths take at least the 250 ms timing floor</t>
  </si>
  <si>
    <t xml:space="preserve">TC-ACC-012</t>
  </si>
  <si>
    <t xml:space="preserve">TC-ACC-012 matches the email case-insensitively and ignores surrounding whitespace</t>
  </si>
  <si>
    <t xml:space="preserve">TC-ACC-013</t>
  </si>
  <si>
    <t xml:space="preserve">TC-ACC-013 the password is case-sensitive</t>
  </si>
  <si>
    <t xml:space="preserve">TC-ACC-014</t>
  </si>
  <si>
    <t xml:space="preserve">TC-ACC-014 never returns a password hash or digest in any auth response</t>
  </si>
  <si>
    <t xml:space="preserve">TC-ACC-015</t>
  </si>
  <si>
    <t xml:space="preserve">TC-ACC-015 mobile clients receive the refresh token in the body; web clients in an HttpOnly Secure cookie</t>
  </si>
  <si>
    <t xml:space="preserve">TC-ACC-016</t>
  </si>
  <si>
    <t xml:space="preserve">TC-ACC-016 the access token lives for 900 seconds</t>
  </si>
  <si>
    <t xml:space="preserve">TC-ACC-017</t>
  </si>
  <si>
    <t xml:space="preserve">TC-ACC-017 no Authorization header -&gt; 401 AUTHENTICATION_REQUIRED</t>
  </si>
  <si>
    <t xml:space="preserve">TC-ACC-018</t>
  </si>
  <si>
    <t xml:space="preserve">TC-ACC-018 scheme "Basic dXNlcjpwYXNz" -&gt; 401</t>
  </si>
  <si>
    <t xml:space="preserve">TC-ACC-019</t>
  </si>
  <si>
    <t xml:space="preserve">TC-ACC-019 garbage after Bearer -&gt; 401 TOKEN_INVALID</t>
  </si>
  <si>
    <t xml:space="preserve">TC-ACC-020</t>
  </si>
  <si>
    <t xml:space="preserve">TC-ACC-020 a token signed with a different secret is rejected</t>
  </si>
  <si>
    <t xml:space="preserve">TC-ACC-021</t>
  </si>
  <si>
    <t xml:space="preserve">TC-ACC-021 an alg=none token is rejected</t>
  </si>
  <si>
    <t xml:space="preserve">TC-ACC-022</t>
  </si>
  <si>
    <t xml:space="preserve">TC-ACC-022 an expired token -&gt; 401 TOKEN_EXPIRED</t>
  </si>
  <si>
    <t xml:space="preserve">TC-ACC-023</t>
  </si>
  <si>
    <t xml:space="preserve">TC-ACC-023 a token with the wrong audience or issuer is rejected</t>
  </si>
  <si>
    <t xml:space="preserve">TC-ACC-024</t>
  </si>
  <si>
    <t xml:space="preserve">TC-ACC-024 flipping one character of the signature invalidates the token</t>
  </si>
  <si>
    <t xml:space="preserve">TC-ACC-025</t>
  </si>
  <si>
    <t xml:space="preserve">TC-ACC-025 refresh returns a new access token and a different refresh token</t>
  </si>
  <si>
    <t xml:space="preserve">TC-ACC-026</t>
  </si>
  <si>
    <t xml:space="preserve">TC-ACC-026 an unknown refresh token -&gt; 401</t>
  </si>
  <si>
    <t xml:space="preserve">TC-ACC-027</t>
  </si>
  <si>
    <t xml:space="preserve">TC-ACC-027 a missing refresh token -&gt; 401, not 500</t>
  </si>
  <si>
    <t xml:space="preserve">TC-ACC-028</t>
  </si>
  <si>
    <t xml:space="preserve">TC-ACC-028 reuse of a consumed token revokes the family: the newest token stops working too</t>
  </si>
  <si>
    <t xml:space="preserve">TC-ACC-029 logout consumes the refresh token</t>
  </si>
  <si>
    <t xml:space="preserve">TC-ACC-030</t>
  </si>
  <si>
    <t xml:space="preserve">TC-ACC-030 a cookie-based refresh from an untrusted origin is refused (CSRF defence)</t>
  </si>
  <si>
    <t xml:space="preserve">TC-ACC-031</t>
  </si>
  <si>
    <t xml:space="preserve">TC-ACC-031 a cookie-based refresh from the trusted origin is accepted</t>
  </si>
  <si>
    <t xml:space="preserve">TC-ACC-101</t>
  </si>
  <si>
    <t xml:space="preserve">TC-ACC-101 a new account is ACTIVE with no deletion dates</t>
  </si>
  <si>
    <t xml:space="preserve">platform.verification.integration.test.ts</t>
  </si>
  <si>
    <t xml:space="preserve">TC-ACC-102</t>
  </si>
  <si>
    <t xml:space="preserve">TC-ACC-102 deletion requires the password: missing -&gt; 422, wrong -&gt; 401 INVALID_CREDENTIALS, extra field -&gt; 422</t>
  </si>
  <si>
    <t xml:space="preserve">TC-ACC-103</t>
  </si>
  <si>
    <t xml:space="preserve">TC-ACC-103 a correct request schedules deletion exactly 30 days ahead</t>
  </si>
  <si>
    <t xml:space="preserve">TC-ACC-104</t>
  </si>
  <si>
    <t xml:space="preserve">TC-ACC-104 requesting twice is idempotent: already_pending=true and the purge date does not move</t>
  </si>
  <si>
    <t xml:space="preserve">TC-ACC-105</t>
  </si>
  <si>
    <t xml:space="preserve">TC-ACC-105 during the grace window the user can still sign in and is told deletion is pending</t>
  </si>
  <si>
    <t xml:space="preserve">TC-ACC-106</t>
  </si>
  <si>
    <t xml:space="preserve">TC-ACC-106 cancelling restores ACTIVE; cancelling again is 409</t>
  </si>
  <si>
    <t xml:space="preserve">TC-ACC-107</t>
  </si>
  <si>
    <t xml:space="preserve">TC-ACC-107 deleting a user row cascades to all of their data (no orphans)</t>
  </si>
  <si>
    <t xml:space="preserve">TC-ACC-201</t>
  </si>
  <si>
    <t xml:space="preserve">TC-ACC-201 shows labelled email and password fields, a submit button and a link to registration</t>
  </si>
  <si>
    <t xml:space="preserve">LoginPage.verification.test.tsx</t>
  </si>
  <si>
    <t xml:space="preserve">Component / UI (jsdom)</t>
  </si>
  <si>
    <t xml:space="preserve">TC-ACC-202</t>
  </si>
  <si>
    <t xml:space="preserve">TC-ACC-202 the password field is masked and both fields carry the right autocomplete hints</t>
  </si>
  <si>
    <t xml:space="preserve">TC-ACC-203</t>
  </si>
  <si>
    <t xml:space="preserve">TC-ACC-203 submitting sends exactly the typed email and password and lands on the dashboard</t>
  </si>
  <si>
    <t xml:space="preserve">TC-ACC-204</t>
  </si>
  <si>
    <t xml:space="preserve">TC-ACC-204 returns to the page a protected route redirected from</t>
  </si>
  <si>
    <t xml:space="preserve">TC-ACC-205</t>
  </si>
  <si>
    <t xml:space="preserve">TC-ACC-205 a user in the deletion grace window is sent to settings with the recover flag (FR-ACC-02 clause 5)</t>
  </si>
  <si>
    <t xml:space="preserve">TC-ACC-206</t>
  </si>
  <si>
    <t xml:space="preserve">TC-ACC-206 INVALID_CREDENTIALS shows a clear message and keeps the user on the form</t>
  </si>
  <si>
    <t xml:space="preserve">TC-ACC-207</t>
  </si>
  <si>
    <t xml:space="preserve">TC-ACC-207 an unexpected non-API failure shows a generic retry message, never the raw exception text</t>
  </si>
  <si>
    <t xml:space="preserve">TC-ACC-208</t>
  </si>
  <si>
    <t xml:space="preserve">TC-ACC-208 the error is cleared when the user submits again</t>
  </si>
  <si>
    <t xml:space="preserve">TC-ACC-209</t>
  </si>
  <si>
    <t xml:space="preserve">TC-ACC-209 a second click while the request is in flight does not send a second request</t>
  </si>
  <si>
    <t xml:space="preserve">TC-ACC-210</t>
  </si>
  <si>
    <t xml:space="preserve">TC-ACC-210 the password is not echoed anywhere in the page text after a failed attempt</t>
  </si>
  <si>
    <t xml:space="preserve">TC-ACC-221</t>
  </si>
  <si>
    <t xml:space="preserve">TC-ACC-221 shows email, password and the age confirmation, and a link to sign in</t>
  </si>
  <si>
    <t xml:space="preserve">RegisterPage.verification.test.tsx</t>
  </si>
  <si>
    <t xml:space="preserve">TC-ACC-222</t>
  </si>
  <si>
    <t xml:space="preserve">TC-ACC-222 the password field is masked with new-password autocomplete</t>
  </si>
  <si>
    <t xml:space="preserve">TC-ACC-223</t>
  </si>
  <si>
    <t xml:space="preserve">TC-ACC-223 submitting an empty form shows all three errors at once and sends nothing</t>
  </si>
  <si>
    <t xml:space="preserve">TC-ACC-224</t>
  </si>
  <si>
    <t xml:space="preserve">TC-ACC-224 rejects the email "plainaddress"</t>
  </si>
  <si>
    <t xml:space="preserve">TC-ACC-225</t>
  </si>
  <si>
    <t xml:space="preserve">TC-ACC-225 an 11-character password is refused and a 12-character one is accepted (boundary)</t>
  </si>
  <si>
    <t xml:space="preserve">TC-ACC-226</t>
  </si>
  <si>
    <t xml:space="preserve">TC-ACC-226 a 12-character password is accepted and sent with the age confirmation</t>
  </si>
  <si>
    <t xml:space="preserve">TC-ACC-227</t>
  </si>
  <si>
    <t xml:space="preserve">TC-ACC-227 a 128-character password is accepted and a 129-character one is refused (boundary)</t>
  </si>
  <si>
    <t xml:space="preserve">TC-ACC-228</t>
  </si>
  <si>
    <t xml:space="preserve">TC-ACC-228 a 129-character password shows the maximum-length error</t>
  </si>
  <si>
    <t xml:space="preserve">TC-ACC-229</t>
  </si>
  <si>
    <t xml:space="preserve">TC-ACC-229 length is counted in characters, not UTF-16 units: twelve emoji count as 12</t>
  </si>
  <si>
    <t xml:space="preserve">TC-ACC-230</t>
  </si>
  <si>
    <t xml:space="preserve">TC-ACC-230 the age confirmation is required (BR-ACC-13)</t>
  </si>
  <si>
    <t xml:space="preserve">TC-ACC-231</t>
  </si>
  <si>
    <t xml:space="preserve">TC-ACC-231 success with email verification shows a neutral message that does not reveal whether the address was already registered (BR-ACC-1</t>
  </si>
  <si>
    <t xml:space="preserve">TC-ACC-232</t>
  </si>
  <si>
    <t xml:space="preserve">TC-ACC-232 without verification the user is signed in and sent to onboarding</t>
  </si>
  <si>
    <t xml:space="preserve">TC-ACC-233</t>
  </si>
  <si>
    <t xml:space="preserve">TC-ACC-233 if the automatic sign-in fails the user is told to sign in manually</t>
  </si>
  <si>
    <t xml:space="preserve">TC-ACC-234</t>
  </si>
  <si>
    <t xml:space="preserve">TC-ACC-234 a server validation error is shown on the form and the form stays editable</t>
  </si>
  <si>
    <t xml:space="preserve">TC-ACC-235</t>
  </si>
  <si>
    <t xml:space="preserve">TC-ACC-235 [DEF-005] the client also enforces the password composition rules of BR-ACC-01 (clauses 3 to 5)</t>
  </si>
  <si>
    <t xml:space="preserve">TC-ACC-301</t>
  </si>
  <si>
    <t xml:space="preserve">TC-ACC-301 a due account is erased completely: user row, every user-scoped table and child rows</t>
  </si>
  <si>
    <t xml:space="preserve">purge.verification.integration.test.ts</t>
  </si>
  <si>
    <t xml:space="preserve">TC-ACC-302</t>
  </si>
  <si>
    <t xml:space="preserve">TC-ACC-302 after erasure the credentials no longer work</t>
  </si>
  <si>
    <t xml:space="preserve">TC-ACC-303</t>
  </si>
  <si>
    <t xml:space="preserve">TC-ACC-303 the audit trail keeps only a keyed hash of the subject: no email, no user id</t>
  </si>
  <si>
    <t xml:space="preserve">TC-ACC-304</t>
  </si>
  <si>
    <t xml:space="preserve">TC-ACC-304 an account still inside its grace window is not purged</t>
  </si>
  <si>
    <t xml:space="preserve">TC-ACC-305</t>
  </si>
  <si>
    <t xml:space="preserve">TC-ACC-305 an account whose deletion was cancelled is not purged even if the date has passed</t>
  </si>
  <si>
    <t xml:space="preserve">TC-ACC-306</t>
  </si>
  <si>
    <t xml:space="preserve">TC-ACC-306 erasing one account leaves another account's data untouched</t>
  </si>
  <si>
    <t xml:space="preserve">TC-ACC-307</t>
  </si>
  <si>
    <t xml:space="preserve">TC-ACC-307 a second sweep finds nothing more to erase for an already-erased account (idempotent)</t>
  </si>
  <si>
    <t xml:space="preserve">TC-ACC-308</t>
  </si>
  <si>
    <t xml:space="preserve">TC-ACC-308 failed-login history for the erased address is removed</t>
  </si>
  <si>
    <t xml:space="preserve">TC-ACC-309</t>
  </si>
  <si>
    <t xml:space="preserve">TC-ACC-309 [DEF-019] the user is told by email that their data was erased (GDPR Art. 12 transparency; API spec section 4 gap)</t>
  </si>
  <si>
    <t xml:space="preserve">DEF-019</t>
  </si>
  <si>
    <t xml:space="preserve">TC-DAT-001</t>
  </si>
  <si>
    <t xml:space="preserve">TC-DAT-001 re-running every migration applies nothing and skips all (idempotent)</t>
  </si>
  <si>
    <t xml:space="preserve">data.verification.integration.test.ts</t>
  </si>
  <si>
    <t xml:space="preserve">DAT</t>
  </si>
  <si>
    <t xml:space="preserve">TC-DAT-002</t>
  </si>
  <si>
    <t xml:space="preserve">TC-DAT-002 re-running the seeds does not duplicate catalogue rows</t>
  </si>
  <si>
    <t xml:space="preserve">TC-DAT-003</t>
  </si>
  <si>
    <t xml:space="preserve">TC-DAT-003 seeded catalogue sizes match the documented figures: 94 species, 180 foods, 16 achievements</t>
  </si>
  <si>
    <t xml:space="preserve">TC-DAT-004</t>
  </si>
  <si>
    <t xml:space="preserve">TC-DAT-004 every species has a coherent care profile: 1 &lt;= min &lt;= base &lt;= max</t>
  </si>
  <si>
    <t xml:space="preserve">TC-DAT-005</t>
  </si>
  <si>
    <t xml:space="preserve">TC-DAT-005 achievement codes are unique</t>
  </si>
  <si>
    <t xml:space="preserve">TC-DAT-006</t>
  </si>
  <si>
    <t xml:space="preserve">TC-DAT-006 registering the same address in two letter-cases leaves exactly one account</t>
  </si>
  <si>
    <t xml:space="preserve">TC-DAT-007</t>
  </si>
  <si>
    <t xml:space="preserve">TC-DAT-007 the schema rejects a plant with an invalid light exposure at the database level (defence in depth)</t>
  </si>
  <si>
    <t xml:space="preserve">TC-DAT-008</t>
  </si>
  <si>
    <t xml:space="preserve">TC-DAT-008 the refresh token is stored only as a digest, never in clear</t>
  </si>
  <si>
    <t xml:space="preserve">TC-DAT-009</t>
  </si>
  <si>
    <t xml:space="preserve">TC-DAT-009 passwords are stored as Argon2id hashes, never in clear</t>
  </si>
  <si>
    <t xml:space="preserve">TC-DSH-001</t>
  </si>
  <si>
    <t xml:space="preserve">TC-DSH-001 returns the aggregate with streak, plants, fitness and nutrition sections in one call</t>
  </si>
  <si>
    <t xml:space="preserve">DSH</t>
  </si>
  <si>
    <t xml:space="preserve">TC-DSH-002</t>
  </si>
  <si>
    <t xml:space="preserve">TC-DSH-002 the dashboard reflects what was just logged</t>
  </si>
  <si>
    <t xml:space="preserve">TC-DSH-003</t>
  </si>
  <si>
    <t xml:space="preserve">TC-DSH-003 a new user has a zero streak and sees no other user's data</t>
  </si>
  <si>
    <t xml:space="preserve">TC-DSH-004</t>
  </si>
  <si>
    <t xml:space="preserve">TC-DSH-004 [DEF-009] a malformed or impossible date is a 422, not a 500 or a silent default</t>
  </si>
  <si>
    <t xml:space="preserve">DEF-009</t>
  </si>
  <si>
    <t xml:space="preserve">TC-FIT-001</t>
  </si>
  <si>
    <t xml:space="preserve">TC-FIT-001 spec vector: RUN at MODERATE (MET 9.8), 45 min at 72 kg = 529.2 kcal</t>
  </si>
  <si>
    <t xml:space="preserve">fitness.verification.test.ts</t>
  </si>
  <si>
    <t xml:space="preserve">FIT</t>
  </si>
  <si>
    <t xml:space="preserve">Unit (black-box vs spec)</t>
  </si>
  <si>
    <t xml:space="preserve">TC-FIT-002</t>
  </si>
  <si>
    <t xml:space="preserve">TC-FIT-002 catalogue default: WALK MET 3.5, 70 kg, 30 min = 122.5 kcal</t>
  </si>
  <si>
    <t xml:space="preserve">TC-FIT-003</t>
  </si>
  <si>
    <t xml:space="preserve">TC-FIT-003 rounds to one decimal place half up</t>
  </si>
  <si>
    <t xml:space="preserve">TC-FIT-004</t>
  </si>
  <si>
    <t xml:space="preserve">TC-FIT-004 MET 1 accepted=true (bound 1.0 to 23.0, inclusive)</t>
  </si>
  <si>
    <t xml:space="preserve">TC-FIT-005</t>
  </si>
  <si>
    <t xml:space="preserve">TC-FIT-005 rejects body mass 0</t>
  </si>
  <si>
    <t xml:space="preserve">TC-FIT-006</t>
  </si>
  <si>
    <t xml:space="preserve">TC-FIT-006 rejects duration 0</t>
  </si>
  <si>
    <t xml:space="preserve">TC-FIT-007</t>
  </si>
  <si>
    <t xml:space="preserve">TC-FIT-007 doubles when duration doubles (linearity)</t>
  </si>
  <si>
    <t xml:space="preserve">TC-FIT-008</t>
  </si>
  <si>
    <t xml:space="preserve">TC-FIT-008 spec vector: 100 kg x 5 reps = 100 x (1 + 5/30) = 116.7 kg</t>
  </si>
  <si>
    <t xml:space="preserve">TC-FIT-009</t>
  </si>
  <si>
    <t xml:space="preserve">TC-FIT-009 one repetition returns the lifted weight exactly</t>
  </si>
  <si>
    <t xml:space="preserve">TC-FIT-010</t>
  </si>
  <si>
    <t xml:space="preserve">TC-FIT-010 60 kg x 10 reps -&gt; 80 kg</t>
  </si>
  <si>
    <t xml:space="preserve">TC-FIT-011</t>
  </si>
  <si>
    <t xml:space="preserve">TC-FIT-011 zero load carries no information and returns 0</t>
  </si>
  <si>
    <t xml:space="preserve">TC-FIT-012</t>
  </si>
  <si>
    <t xml:space="preserve">TC-FIT-012 rejects 0 reps</t>
  </si>
  <si>
    <t xml:space="preserve">TC-FIT-013</t>
  </si>
  <si>
    <t xml:space="preserve">TC-FIT-013 rejects a negative weight</t>
  </si>
  <si>
    <t xml:space="preserve">TC-FIT-014</t>
  </si>
  <si>
    <t xml:space="preserve">TC-FIT-014 the valid record rep range is 1 to 12</t>
  </si>
  <si>
    <t xml:space="preserve">TC-FIT-015</t>
  </si>
  <si>
    <t xml:space="preserve">TC-FIT-015 eligible(100 kg, 1 reps) = true</t>
  </si>
  <si>
    <t xml:space="preserve">TC-FIT-016</t>
  </si>
  <si>
    <t xml:space="preserve">TC-FIT-016 spec vector: 3 sets of 5 at 100 kg = 1500 kg</t>
  </si>
  <si>
    <t xml:space="preserve">TC-FIT-017</t>
  </si>
  <si>
    <t xml:space="preserve">TC-FIT-017 an empty workout totals 0, never null or NaN</t>
  </si>
  <si>
    <t xml:space="preserve">TC-FIT-018</t>
  </si>
  <si>
    <t xml:space="preserve">TC-FIT-018 bodyweight sets (0 kg) contribute zero volume</t>
  </si>
  <si>
    <t xml:space="preserve">TC-FIT-019</t>
  </si>
  <si>
    <t xml:space="preserve">TC-FIT-019 set volume is reps x weight, one decimal</t>
  </si>
  <si>
    <t xml:space="preserve">TC-FIT-020</t>
  </si>
  <si>
    <t xml:space="preserve">TC-FIT-020 setVolumeKg rejects reps=-1 weight=10</t>
  </si>
  <si>
    <t xml:space="preserve">TC-FIT-021</t>
  </si>
  <si>
    <t xml:space="preserve">TC-FIT-021 [DEF-003] totalVolumeKg accepts invalid sets that setVolumeKg rejects</t>
  </si>
  <si>
    <t xml:space="preserve">DEF-003</t>
  </si>
  <si>
    <t xml:space="preserve">TC-FIT-101</t>
  </si>
  <si>
    <t xml:space="preserve">TC-FIT-101 the seeded exercise catalogue is not empty and every row has a MET inside 1.0..23.0</t>
  </si>
  <si>
    <t xml:space="preserve">fitness.verification.integration.test.ts</t>
  </si>
  <si>
    <t xml:space="preserve">TC-FIT-102</t>
  </si>
  <si>
    <t xml:space="preserve">TC-FIT-102 search returns 200 with a list; a no-match query returns an empty list</t>
  </si>
  <si>
    <t xml:space="preserve">TC-FIT-103</t>
  </si>
  <si>
    <t xml:space="preserve">TC-FIT-103 logs a timed workout: 201, MET and body mass stored at log time, energy = MET x kg x min / 60</t>
  </si>
  <si>
    <t xml:space="preserve">TC-FIT-104</t>
  </si>
  <si>
    <t xml:space="preserve">TC-FIT-104 a workout without a duration is accepted and has no calorie estimate</t>
  </si>
  <si>
    <t xml:space="preserve">TC-FIT-105</t>
  </si>
  <si>
    <t xml:space="preserve">TC-FIT-105 accepts activity type WALK</t>
  </si>
  <si>
    <t xml:space="preserve">TC-FIT-106</t>
  </si>
  <si>
    <t xml:space="preserve">TC-FIT-106 rejects unknown activity type with 422</t>
  </si>
  <si>
    <t xml:space="preserve">TC-FIT-107</t>
  </si>
  <si>
    <t xml:space="preserve">TC-FIT-107 accepts the boundaries: duration 1 and 1440, steps 0 and 200000, MET 1 and 23, mass 20 and 635, note of 500</t>
  </si>
  <si>
    <t xml:space="preserve">TC-FIT-108</t>
  </si>
  <si>
    <t xml:space="preserve">TC-FIT-108 [DEF-010] the server computes calories itself; a client-supplied calories_burned is ignored (API spec section 3.4)</t>
  </si>
  <si>
    <t xml:space="preserve">DEF-010</t>
  </si>
  <si>
    <t xml:space="preserve">TC-FIT-109</t>
  </si>
  <si>
    <t xml:space="preserve">TC-FIT-109 [DEF-011] a fractional or negative rep count in a set is a 422, not an internal error</t>
  </si>
  <si>
    <t xml:space="preserve">DEF-011</t>
  </si>
  <si>
    <t xml:space="preserve">TC-FIT-110</t>
  </si>
  <si>
    <t xml:space="preserve">TC-FIT-110 [DEF-011] a negative or non-numeric set weight is a 422, not an internal error</t>
  </si>
  <si>
    <t xml:space="preserve">TC-FIT-111</t>
  </si>
  <si>
    <t xml:space="preserve">TC-FIT-111 [DEF-009] an impossible calendar date (month 13) is a 422, not an internal error</t>
  </si>
  <si>
    <t xml:space="preserve">TC-FIT-112</t>
  </si>
  <si>
    <t xml:space="preserve">TC-FIT-112 three sets of 5 at 100 kg total 1500 kg of volume (spec vector)</t>
  </si>
  <si>
    <t xml:space="preserve">TC-FIT-113</t>
  </si>
  <si>
    <t xml:space="preserve">TC-FIT-113 estimated 1RM for 100 kg x 5 is stored as 116.7 kg (spec vector)</t>
  </si>
  <si>
    <t xml:space="preserve">TC-FIT-114</t>
  </si>
  <si>
    <t xml:space="preserve">TC-FIT-114 a set above 12 reps is stored but carries no 1RM record estimate</t>
  </si>
  <si>
    <t xml:space="preserve">TC-FIT-115</t>
  </si>
  <si>
    <t xml:space="preserve">TC-FIT-115 a bodyweight set (0 kg) contributes zero volume</t>
  </si>
  <si>
    <t xml:space="preserve">TC-FIT-116</t>
  </si>
  <si>
    <t xml:space="preserve">TC-FIT-116 personal-records endpoint answers 200 with a list</t>
  </si>
  <si>
    <t xml:space="preserve">TC-FIT-117</t>
  </si>
  <si>
    <t xml:space="preserve">TC-FIT-117 list and get return only the caller's workouts; another user's id is 404</t>
  </si>
  <si>
    <t xml:space="preserve">TC-FIT-118</t>
  </si>
  <si>
    <t xml:space="preserve">TC-FIT-118 pagination: limit is clamped to 1..100 and a bad value falls back safely</t>
  </si>
  <si>
    <t xml:space="preserve">TC-FIT-119</t>
  </si>
  <si>
    <t xml:space="preserve">TC-FIT-119 weekly summary requires a valid week parameter (422 with field "week")</t>
  </si>
  <si>
    <t xml:space="preserve">TC-FIT-120</t>
  </si>
  <si>
    <t xml:space="preserve">TC-FIT-120 weekly summary for a valid week answers 200</t>
  </si>
  <si>
    <t xml:space="preserve">TC-FIT-121</t>
  </si>
  <si>
    <t xml:space="preserve">TC-FIT-121 the literal paths /exercises, /summary and /personal-records are not swallowed by /:id</t>
  </si>
  <si>
    <t xml:space="preserve">TC-FIT-122</t>
  </si>
  <si>
    <t xml:space="preserve">TC-FIT-122 a malformed workout id is 422, not 500</t>
  </si>
  <si>
    <t xml:space="preserve">TC-GAM-001</t>
  </si>
  <si>
    <t xml:space="preserve">TC-GAM-001 the empty state is 0 / 0 / null / 0 tokens</t>
  </si>
  <si>
    <t xml:space="preserve">streak.verification.test.ts</t>
  </si>
  <si>
    <t xml:space="preserve">GAM</t>
  </si>
  <si>
    <t xml:space="preserve">TC-GAM-002</t>
  </si>
  <si>
    <t xml:space="preserve">TC-GAM-002 first ever log starts the streak at 1</t>
  </si>
  <si>
    <t xml:space="preserve">TC-GAM-003</t>
  </si>
  <si>
    <t xml:space="preserve">TC-GAM-003 a log on the following day increments by exactly 1</t>
  </si>
  <si>
    <t xml:space="preserve">TC-GAM-004</t>
  </si>
  <si>
    <t xml:space="preserve">TC-GAM-004 the same day twice is idempotent and returns the same state</t>
  </si>
  <si>
    <t xml:space="preserve">TC-GAM-005</t>
  </si>
  <si>
    <t xml:space="preserve">TC-GAM-005 a backdated log never changes the streak</t>
  </si>
  <si>
    <t xml:space="preserve">TC-GAM-006</t>
  </si>
  <si>
    <t xml:space="preserve">TC-GAM-006 a gap with no tokens resets current to 1 and keeps the longest</t>
  </si>
  <si>
    <t xml:space="preserve">TC-GAM-007</t>
  </si>
  <si>
    <t xml:space="preserve">TC-GAM-007 one missed day is bridged by exactly one token</t>
  </si>
  <si>
    <t xml:space="preserve">TC-GAM-008</t>
  </si>
  <si>
    <t xml:space="preserve">TC-GAM-008 a gap larger than the token balance resets and leaves the tokens untouched</t>
  </si>
  <si>
    <t xml:space="preserve">TC-GAM-009</t>
  </si>
  <si>
    <t xml:space="preserve">TC-GAM-009 tokens exactly equal to the missed days are all consumed (boundary)</t>
  </si>
  <si>
    <t xml:space="preserve">TC-GAM-010</t>
  </si>
  <si>
    <t xml:space="preserve">TC-GAM-010 one token short of the missed days resets (boundary)</t>
  </si>
  <si>
    <t xml:space="preserve">TC-GAM-011</t>
  </si>
  <si>
    <t xml:space="preserve">TC-GAM-011 longest rises with current but never falls</t>
  </si>
  <si>
    <t xml:space="preserve">TC-GAM-012</t>
  </si>
  <si>
    <t xml:space="preserve">TC-GAM-012 never mutates the state it was given</t>
  </si>
  <si>
    <t xml:space="preserve">TC-GAM-013</t>
  </si>
  <si>
    <t xml:space="preserve">TC-GAM-013 month end counts as exactly one day (2026-01-31 -&gt; 2026-02-01)</t>
  </si>
  <si>
    <t xml:space="preserve">TC-GAM-014</t>
  </si>
  <si>
    <t xml:space="preserve">TC-GAM-014 a full year apart is 365 (or 366 over a leap February) days</t>
  </si>
  <si>
    <t xml:space="preserve">TC-GAM-015</t>
  </si>
  <si>
    <t xml:space="preserve">TC-GAM-015 the difference is signed</t>
  </si>
  <si>
    <t xml:space="preserve">TC-GAM-016</t>
  </si>
  <si>
    <t xml:space="preserve">TC-GAM-016 rejects the date ""</t>
  </si>
  <si>
    <t xml:space="preserve">TC-GAM-017</t>
  </si>
  <si>
    <t xml:space="preserve">TC-GAM-017 [DEF-004] a syntactically valid but impossible date is rejected</t>
  </si>
  <si>
    <t xml:space="preserve">DEF-004</t>
  </si>
  <si>
    <t xml:space="preserve">TC-GAM-101</t>
  </si>
  <si>
    <t xml:space="preserve">TC-GAM-101 the achievement list holds the 16 seeded achievements, all locked for a new user</t>
  </si>
  <si>
    <t xml:space="preserve">TC-GAM-102</t>
  </si>
  <si>
    <t xml:space="preserve">TC-GAM-102 the first workout unlocks the first-workout achievement exactly once</t>
  </si>
  <si>
    <t xml:space="preserve">TC-GAM-103</t>
  </si>
  <si>
    <t xml:space="preserve">TC-GAM-103 marking achievements seen answers 200 and is repeatable</t>
  </si>
  <si>
    <t xml:space="preserve">TC-GAM-104</t>
  </si>
  <si>
    <t xml:space="preserve">TC-GAM-104 the streaks endpoint answers 200 with a streaks array</t>
  </si>
  <si>
    <t xml:space="preserve">TC-GAM-201</t>
  </si>
  <si>
    <t xml:space="preserve">TC-GAM-201 shows the page heading</t>
  </si>
  <si>
    <t xml:space="preserve">AchievementsPage.verification.test.tsx</t>
  </si>
  <si>
    <t xml:space="preserve">TC-GAM-202</t>
  </si>
  <si>
    <t xml:space="preserve">TC-GAM-202 with no streaks it explains how to start one</t>
  </si>
  <si>
    <t xml:space="preserve">TC-GAM-203</t>
  </si>
  <si>
    <t xml:space="preserve">TC-GAM-203 streaks are shown Overall first, then plant care, fitness, nutrition, whatever order the server sends</t>
  </si>
  <si>
    <t xml:space="preserve">TC-GAM-204</t>
  </si>
  <si>
    <t xml:space="preserve">TC-GAM-204 each streak shows the current and the longest length</t>
  </si>
  <si>
    <t xml:space="preserve">TC-GAM-205</t>
  </si>
  <si>
    <t xml:space="preserve">TC-GAM-205 a failing streak request shows its own error and the badge grid is unaffected</t>
  </si>
  <si>
    <t xml:space="preserve">TC-GAM-206</t>
  </si>
  <si>
    <t xml:space="preserve">TC-GAM-206 retrying after a streak failure reloads and shows the streaks</t>
  </si>
  <si>
    <t xml:space="preserve">TC-GAM-207</t>
  </si>
  <si>
    <t xml:space="preserve">TC-GAM-207 a failing badge request shows its own error and the streaks are unaffected</t>
  </si>
  <si>
    <t xml:space="preserve">TC-GAM-208</t>
  </si>
  <si>
    <t xml:space="preserve">TC-GAM-208 unlocked and locked badges are both listed with their names</t>
  </si>
  <si>
    <t xml:space="preserve">TC-GAM-209</t>
  </si>
  <si>
    <t xml:space="preserve">TC-GAM-209 loading the badges marks them seen exactly once</t>
  </si>
  <si>
    <t xml:space="preserve">TC-GAM-210</t>
  </si>
  <si>
    <t xml:space="preserve">TC-GAM-210 a failure to mark badges seen is silent (pure bookkeeping)</t>
  </si>
  <si>
    <t xml:space="preserve">TC-GAM-211</t>
  </si>
  <si>
    <t xml:space="preserve">TC-GAM-211 an unknown streak type is shown under its raw name instead of being dropped</t>
  </si>
  <si>
    <t xml:space="preserve">TC-NOT-001</t>
  </si>
  <si>
    <t xml:space="preserve">TC-NOT-001 a new user has no reminders</t>
  </si>
  <si>
    <t xml:space="preserve">NOT</t>
  </si>
  <si>
    <t xml:space="preserve">TC-NOT-002</t>
  </si>
  <si>
    <t xml:space="preserve">TC-NOT-002 dismissing an unknown reminder is 404 and a malformed id is 422</t>
  </si>
  <si>
    <t xml:space="preserve">TC-NOT-003</t>
  </si>
  <si>
    <t xml:space="preserve">TC-NOT-003 registering a device with an empty body is 422 and names the missing fields</t>
  </si>
  <si>
    <t xml:space="preserve">TC-NOT-101</t>
  </si>
  <si>
    <t xml:space="preserve">TC-NOT-101 a plant due exactly at the 24 h horizon is planned; one millisecond later is not</t>
  </si>
  <si>
    <t xml:space="preserve">reminderEngine.verification.test.ts</t>
  </si>
  <si>
    <t xml:space="preserve">Unit (white-box)</t>
  </si>
  <si>
    <t xml:space="preserve">TC-NOT-102</t>
  </si>
  <si>
    <t xml:space="preserve">TC-NOT-102 an overdue plant says "is due for watering"; a not-yet-due one says "needs water soon"</t>
  </si>
  <si>
    <t xml:space="preserve">TC-NOT-103</t>
  </si>
  <si>
    <t xml:space="preserve">TC-NOT-103 a plant due exactly now reads as due, and fires now</t>
  </si>
  <si>
    <t xml:space="preserve">TC-NOT-104</t>
  </si>
  <si>
    <t xml:space="preserve">TC-NOT-104 a custom horizon of 0 plans only what is due now or overdue</t>
  </si>
  <si>
    <t xml:space="preserve">TC-NOT-105</t>
  </si>
  <si>
    <t xml:space="preserve">TC-NOT-105 an empty list plans nothing and the planner keeps input order</t>
  </si>
  <si>
    <t xml:space="preserve">TC-NOT-106</t>
  </si>
  <si>
    <t xml:space="preserve">TC-NOT-106 the title names the plant and the type is WATER_PLANT targeting a PLANT</t>
  </si>
  <si>
    <t xml:space="preserve">TC-NOT-107</t>
  </si>
  <si>
    <t xml:space="preserve">TC-NOT-107 crossing window 22:00-07:00 at 21:59 -&gt; quiet=false</t>
  </si>
  <si>
    <t xml:space="preserve">TC-NOT-108</t>
  </si>
  <si>
    <t xml:space="preserve">TC-NOT-108 non-crossing window 13:00-15:00 at 12:59 -&gt; quiet=false</t>
  </si>
  <si>
    <t xml:space="preserve">TC-NOT-109</t>
  </si>
  <si>
    <t xml:space="preserve">TC-NOT-109 a reminder due exactly at the window end is NOT deferred (BR-NOT-08 cl. 1)</t>
  </si>
  <si>
    <t xml:space="preserve">TC-NOT-110</t>
  </si>
  <si>
    <t xml:space="preserve">TC-NOT-110 the window is evaluated in the user's zone: 22:30 in Kolkata is 17:00 UTC</t>
  </si>
  <si>
    <t xml:space="preserve">TC-NOT-111</t>
  </si>
  <si>
    <t xml:space="preserve">TC-NOT-111 across a DST change the local wall clock decides (New York, spring forward 2026-03-08)</t>
  </si>
  <si>
    <t xml:space="preserve">TC-NOT-112</t>
  </si>
  <si>
    <t xml:space="preserve">TC-NOT-112 accepts the time spellings 7:00</t>
  </si>
  <si>
    <t xml:space="preserve">TC-NOT-113</t>
  </si>
  <si>
    <t xml:space="preserve">TC-NOT-113 an unparseable bound "24:00" means "no window", never "always quiet"</t>
  </si>
  <si>
    <t xml:space="preserve">TC-NOT-113b</t>
  </si>
  <si>
    <t xml:space="preserve">TC-NOT-113b [DEF-021] a minute value of 60 or more is rejected, not rolled into the next hour</t>
  </si>
  <si>
    <t xml:space="preserve">DEF-021</t>
  </si>
  <si>
    <t xml:space="preserve">TC-NOT-114</t>
  </si>
  <si>
    <t xml:space="preserve">TC-NOT-114 exactly cap reminders are sent, the next is deferred with DAILY_CAP_REACHED</t>
  </si>
  <si>
    <t xml:space="preserve">TC-NOT-115</t>
  </si>
  <si>
    <t xml:space="preserve">TC-NOT-115 sends already made earlier the same local day reduce the budget</t>
  </si>
  <si>
    <t xml:space="preserve">TC-NOT-116</t>
  </si>
  <si>
    <t xml:space="preserve">TC-NOT-116 an invalid cap 0 falls back to the default rather than muting the user</t>
  </si>
  <si>
    <t xml:space="preserve">TC-NOT-117</t>
  </si>
  <si>
    <t xml:space="preserve">TC-NOT-117 a fractional cap is floored (2.9 allows 2)</t>
  </si>
  <si>
    <t xml:space="preserve">TC-NOT-118</t>
  </si>
  <si>
    <t xml:space="preserve">TC-NOT-118 attempts = MAX-1 is still sent; attempts = MAX fails</t>
  </si>
  <si>
    <t xml:space="preserve">TC-NOT-119</t>
  </si>
  <si>
    <t xml:space="preserve">TC-NOT-119 a reminder due one millisecond in the future is left alone entirely</t>
  </si>
  <si>
    <t xml:space="preserve">TC-NOT-120</t>
  </si>
  <si>
    <t xml:space="preserve">TC-NOT-120 the same id never appears in two outcomes</t>
  </si>
  <si>
    <t xml:space="preserve">TC-NOT-121</t>
  </si>
  <si>
    <t xml:space="preserve">TC-NOT-121 overflow order is deterministic: oldest due first, ties broken by id</t>
  </si>
  <si>
    <t xml:space="preserve">TC-NUT-001</t>
  </si>
  <si>
    <t xml:space="preserve">TC-NUT-001 spec worked example: female 62 kg, 165 cm, 29 y = 1345.25 -&gt; 1345 kcal</t>
  </si>
  <si>
    <t xml:space="preserve">nutrition.verification.test.ts</t>
  </si>
  <si>
    <t xml:space="preserve">NUT</t>
  </si>
  <si>
    <t xml:space="preserve">TC-NUT-002</t>
  </si>
  <si>
    <t xml:space="preserve">TC-NUT-002 male constant +5: 80 kg, 180 cm, 30 y = 800 + 1125 - 150 + 5 = 1780</t>
  </si>
  <si>
    <t xml:space="preserve">TC-NUT-003</t>
  </si>
  <si>
    <t xml:space="preserve">TC-NUT-003 female constant -161 gives exactly 166 less than male for equal inputs</t>
  </si>
  <si>
    <t xml:space="preserve">TC-NUT-004</t>
  </si>
  <si>
    <t xml:space="preserve">TC-NUT-004 PREFER_NOT_TO_SAY uses -78, the mean of +5 and -161</t>
  </si>
  <si>
    <t xml:space="preserve">TC-NUT-005</t>
  </si>
  <si>
    <t xml:space="preserve">TC-NUT-005 rounds half up to a whole kilocalorie (x.5 rounds up)</t>
  </si>
  <si>
    <t xml:space="preserve">TC-NUT-006</t>
  </si>
  <si>
    <t xml:space="preserve">TC-NUT-006 each extra kilogram adds 10 kcal, each cm 6.25, each year removes 5</t>
  </si>
  <si>
    <t xml:space="preserve">TC-NUT-007</t>
  </si>
  <si>
    <t xml:space="preserve">TC-NUT-007 accepts mass min</t>
  </si>
  <si>
    <t xml:space="preserve">TC-NUT-008</t>
  </si>
  <si>
    <t xml:space="preserve">TC-NUT-008 rejects mass below 30</t>
  </si>
  <si>
    <t xml:space="preserve">TC-NUT-009</t>
  </si>
  <si>
    <t xml:space="preserve">TC-NUT-009 [DEF-002] BR-NUT-11 states the age bound as 13..120, the code enforces 16..120</t>
  </si>
  <si>
    <t xml:space="preserve">DEF-002</t>
  </si>
  <si>
    <t xml:space="preserve">TC-NUT-010</t>
  </si>
  <si>
    <t xml:space="preserve">TC-NUT-010 SEDENTARY factor is 1.2</t>
  </si>
  <si>
    <t xml:space="preserve">TC-NUT-011</t>
  </si>
  <si>
    <t xml:space="preserve">TC-NUT-011 spec worked example: 1345 x 1.375 = 1849.375 -&gt; 1849</t>
  </si>
  <si>
    <t xml:space="preserve">TC-NUT-012</t>
  </si>
  <si>
    <t xml:space="preserve">TC-NUT-012 TDEE(2000, SEDENTARY) = 2400</t>
  </si>
  <si>
    <t xml:space="preserve">TC-NUT-013</t>
  </si>
  <si>
    <t xml:space="preserve">TC-NUT-013 rejects BMR 0</t>
  </si>
  <si>
    <t xml:space="preserve">TC-NUT-014</t>
  </si>
  <si>
    <t xml:space="preserve">TC-NUT-014 30 kg -&gt; 1050 ml (35 ml per kg)</t>
  </si>
  <si>
    <t xml:space="preserve">TC-NUT-015</t>
  </si>
  <si>
    <t xml:space="preserve">TC-NUT-015 rounds half up to a whole millilitre</t>
  </si>
  <si>
    <t xml:space="preserve">TC-NUT-016</t>
  </si>
  <si>
    <t xml:space="preserve">TC-NUT-016 rejects body mass 29.9</t>
  </si>
  <si>
    <t xml:space="preserve">TC-NUT-017</t>
  </si>
  <si>
    <t xml:space="preserve">TC-NUT-017 the factors are 4, 4 and 9 kcal per gram</t>
  </si>
  <si>
    <t xml:space="preserve">TC-NUT-018</t>
  </si>
  <si>
    <t xml:space="preserve">TC-NUT-018 {"proteinG":10,"carbohydrateG":20,"fatG":5} -&gt; 165 kcal</t>
  </si>
  <si>
    <t xml:space="preserve">TC-NUT-019</t>
  </si>
  <si>
    <t xml:space="preserve">TC-NUT-019 rejects {"proteinG":-1,"carbohydrateG":0,"fatG":0}</t>
  </si>
  <si>
    <t xml:space="preserve">TC-NUT-101</t>
  </si>
  <si>
    <t xml:space="preserve">TC-NUT-101 [data] the seeded catalogue holds 180 foods, none with negative energy or macros</t>
  </si>
  <si>
    <t xml:space="preserve">nutrition.verification.integration.test.ts</t>
  </si>
  <si>
    <t xml:space="preserve">TC-NUT-102</t>
  </si>
  <si>
    <t xml:space="preserve">TC-NUT-102 search is case-insensitive and substring-based</t>
  </si>
  <si>
    <t xml:space="preserve">TC-NUT-103</t>
  </si>
  <si>
    <t xml:space="preserve">TC-NUT-103 a no-match query returns an empty list, and a repeated q parameter is a 422</t>
  </si>
  <si>
    <t xml:space="preserve">TC-NUT-104</t>
  </si>
  <si>
    <t xml:space="preserve">TC-NUT-104 SQL metacharacters in the query are inert</t>
  </si>
  <si>
    <t xml:space="preserve">TC-NUT-105</t>
  </si>
  <si>
    <t xml:space="preserve">TC-NUT-105 creates a custom food (201) that appears in the creator's search</t>
  </si>
  <si>
    <t xml:space="preserve">TC-NUT-106</t>
  </si>
  <si>
    <t xml:space="preserve">TC-NUT-106 a custom food is invisible to every other user</t>
  </si>
  <si>
    <t xml:space="preserve">TC-NUT-107</t>
  </si>
  <si>
    <t xml:space="preserve">TC-NUT-107 rejects empty name with 422</t>
  </si>
  <si>
    <t xml:space="preserve">TC-NUT-108</t>
  </si>
  <si>
    <t xml:space="preserve">TC-NUT-108 accepts the boundaries: name 1 and 120, kcal 0 and 9000, macros 0 and 100, barcode 8 and 14 digits, grams 0.1 and 5000</t>
  </si>
  <si>
    <t xml:space="preserve">TC-NUT-109</t>
  </si>
  <si>
    <t xml:space="preserve">TC-NUT-109 deleting your own custom food succeeds; a repeat or another user's id is 404; a malformed id is 422</t>
  </si>
  <si>
    <t xml:space="preserve">TC-NUT-110</t>
  </si>
  <si>
    <t xml:space="preserve">TC-NUT-110 a user cannot delete a catalogue food</t>
  </si>
  <si>
    <t xml:space="preserve">TC-NUT-111</t>
  </si>
  <si>
    <t xml:space="preserve">TC-NUT-111 logs a BREAKFAST meal (201)</t>
  </si>
  <si>
    <t xml:space="preserve">TC-NUT-112</t>
  </si>
  <si>
    <t xml:space="preserve">TC-NUT-112 rejects unknown meal type with 422</t>
  </si>
  <si>
    <t xml:space="preserve">TC-NUT-113</t>
  </si>
  <si>
    <t xml:space="preserve">TC-NUT-113 reports the index of the failing item in the error detail</t>
  </si>
  <si>
    <t xml:space="preserve">TC-NUT-114</t>
  </si>
  <si>
    <t xml:space="preserve">TC-NUT-114 kcal 0 is allowed (water-like items)</t>
  </si>
  <si>
    <t xml:space="preserve">TC-NUT-115</t>
  </si>
  <si>
    <t xml:space="preserve">TC-NUT-115 [DEF-009] an impossible calendar date (month 13) is a 422, not an internal error</t>
  </si>
  <si>
    <t xml:space="preserve">TC-NUT-116</t>
  </si>
  <si>
    <t xml:space="preserve">TC-NUT-116 negative macro grams are rejected (a negative value would silently reduce the daily total)</t>
  </si>
  <si>
    <t xml:space="preserve">TC-NUT-117</t>
  </si>
  <si>
    <t xml:space="preserve">TC-NUT-117 [DEF-013] replaying a meal with the same idempotency key returns the original result (200 + Idempotent-Replay), not 409 (BR-SYS-0</t>
  </si>
  <si>
    <t xml:space="preserve">DEF-013</t>
  </si>
  <si>
    <t xml:space="preserve">TC-NUT-117b</t>
  </si>
  <si>
    <t xml:space="preserve">TC-NUT-117b [DEF-013] the same holds for a water log replay</t>
  </si>
  <si>
    <t xml:space="preserve">TC-NUT-117c</t>
  </si>
  <si>
    <t xml:space="preserve">TC-NUT-117c a replayed meal is never stored twice, whatever status it returns</t>
  </si>
  <si>
    <t xml:space="preserve">TC-NUT-118</t>
  </si>
  <si>
    <t xml:space="preserve">TC-NUT-118 the daily total is the sum of its items</t>
  </si>
  <si>
    <t xml:space="preserve">TC-NUT-119</t>
  </si>
  <si>
    <t xml:space="preserve">TC-NUT-119 a day with nothing logged returns 200 with zero totals, not an error</t>
  </si>
  <si>
    <t xml:space="preserve">TC-NUT-120</t>
  </si>
  <si>
    <t xml:space="preserve">TC-NUT-120 a malformed summary date is 422</t>
  </si>
  <si>
    <t xml:space="preserve">TC-NUT-121</t>
  </si>
  <si>
    <t xml:space="preserve">TC-NUT-121 a day's summary does not include another user's meals</t>
  </si>
  <si>
    <t xml:space="preserve">TC-NUT-122</t>
  </si>
  <si>
    <t xml:space="preserve">TC-NUT-122 water amount 1 ml -&gt; 201</t>
  </si>
  <si>
    <t xml:space="preserve">TC-NUT-123</t>
  </si>
  <si>
    <t xml:space="preserve">TC-NUT-123 water rejects a non-numeric amount and a bad date</t>
  </si>
  <si>
    <t xml:space="preserve">TC-PLT-001</t>
  </si>
  <si>
    <t xml:space="preserve">TC-PLT-001 month 1 (January): NORTHERN=WINTER, SOUTHERN=SUMMER, EQUATORIAL=YEAR_ROUND</t>
  </si>
  <si>
    <t xml:space="preserve">season.verification.test.ts</t>
  </si>
  <si>
    <t xml:space="preserve">PLT</t>
  </si>
  <si>
    <t xml:space="preserve">TC-PLT-002</t>
  </si>
  <si>
    <t xml:space="preserve">TC-PLT-002 southern is the northern mapping shifted by six months, for all twelve months</t>
  </si>
  <si>
    <t xml:space="preserve">TC-PLT-003</t>
  </si>
  <si>
    <t xml:space="preserve">TC-PLT-003 rejects months outside 1..12 for a seasonal hemisphere</t>
  </si>
  <si>
    <t xml:space="preserve">TC-PLT-004</t>
  </si>
  <si>
    <t xml:space="preserve">TC-PLT-004 resolves the month from the YYYY-MM-DD string at both ends of a month</t>
  </si>
  <si>
    <t xml:space="preserve">TC-PLT-005</t>
  </si>
  <si>
    <t xml:space="preserve">TC-PLT-005 a leap day resolves like any February day</t>
  </si>
  <si>
    <t xml:space="preserve">TC-PLT-006</t>
  </si>
  <si>
    <t xml:space="preserve">TC-PLT-006 the equatorial hemisphere is YEAR_ROUND on any date</t>
  </si>
  <si>
    <t xml:space="preserve">TC-PLT-007</t>
  </si>
  <si>
    <t xml:space="preserve">TC-PLT-007 rejects a malformed date: empty string</t>
  </si>
  <si>
    <t xml:space="preserve">TC-PLT-008</t>
  </si>
  <si>
    <t xml:space="preserve">TC-PLT-008 SPRING has factor 0.95</t>
  </si>
  <si>
    <t xml:space="preserve">TC-PLT-009</t>
  </si>
  <si>
    <t xml:space="preserve">TC-PLT-009 summer shortens and winter lengthens the interval relative to the baseline</t>
  </si>
  <si>
    <t xml:space="preserve">TC-PLT-010</t>
  </si>
  <si>
    <t xml:space="preserve">TC-PLT-010 the factor table is frozen so no caller can alter a published multiplier</t>
  </si>
  <si>
    <t xml:space="preserve">TC-PLT-011</t>
  </si>
  <si>
    <t xml:space="preserve">TC-PLT-011 LOW = 1.25</t>
  </si>
  <si>
    <t xml:space="preserve">watering.verification.test.ts</t>
  </si>
  <si>
    <t xml:space="preserve">TC-PLT-012</t>
  </si>
  <si>
    <t xml:space="preserve">TC-PLT-012 FABRIC = 0.75</t>
  </si>
  <si>
    <t xml:space="preserve">TC-PLT-013</t>
  </si>
  <si>
    <t xml:space="preserve">TC-PLT-013 0.1 cm -&gt; 0.8</t>
  </si>
  <si>
    <t xml:space="preserve">TC-PLT-014</t>
  </si>
  <si>
    <t xml:space="preserve">TC-PLT-014 null or undefined diameter is neutral (1.00)</t>
  </si>
  <si>
    <t xml:space="preserve">TC-PLT-015</t>
  </si>
  <si>
    <t xml:space="preserve">TC-PLT-015 rejects the invalid diameter 0</t>
  </si>
  <si>
    <t xml:space="preserve">TC-PLT-016</t>
  </si>
  <si>
    <t xml:space="preserve">TC-PLT-016 true -&gt; 1.00, null -&gt; 1.00, undefined -&gt; 1.00, false -&gt; 1.15</t>
  </si>
  <si>
    <t xml:space="preserve">TC-PLT-017</t>
  </si>
  <si>
    <t xml:space="preserve">TC-PLT-017 placement INDOOR = 1</t>
  </si>
  <si>
    <t xml:space="preserve">TC-PLT-018</t>
  </si>
  <si>
    <t xml:space="preserve">TC-PLT-018 soil ORCHID_BARK = 0.75</t>
  </si>
  <si>
    <t xml:space="preserve">TC-PLT-019</t>
  </si>
  <si>
    <t xml:space="preserve">TC-PLT-019 climate HEATED_DRY_WINTER = 0.85</t>
  </si>
  <si>
    <t xml:space="preserve">TC-PLT-020</t>
  </si>
  <si>
    <t xml:space="preserve">TC-PLT-020 'E1' 'typical (Monstera)' -&gt; 5 days (clamped: null)</t>
  </si>
  <si>
    <t xml:space="preserve">TC-PLT-021</t>
  </si>
  <si>
    <t xml:space="preserve">TC-PLT-021 E4: the indoor climate is forced to 1.00 outdoors, whatever is stored</t>
  </si>
  <si>
    <t xml:space="preserve">TC-PLT-022</t>
  </si>
  <si>
    <t xml:space="preserve">TC-PLT-022 E2: sub-factors multiply to the documented products</t>
  </si>
  <si>
    <t xml:space="preserve">TC-PLT-023</t>
  </si>
  <si>
    <t xml:space="preserve">TC-PLT-023 with every optional input absent, the result is the unmodified base (all neutral)</t>
  </si>
  <si>
    <t xml:space="preserve">TC-PLT-024</t>
  </si>
  <si>
    <t xml:space="preserve">TC-PLT-024 rounds half up: raw 4.5 -&gt; 5 and raw 4.4999 -&gt; 4</t>
  </si>
  <si>
    <t xml:space="preserve">TC-PLT-025</t>
  </si>
  <si>
    <t xml:space="preserve">TC-PLT-025 a result exactly on a species bound is not reported as clamped</t>
  </si>
  <si>
    <t xml:space="preserve">TC-PLT-026</t>
  </si>
  <si>
    <t xml:space="preserve">TC-PLT-026 one day beyond a bound is clamped and reported</t>
  </si>
  <si>
    <t xml:space="preserve">TC-PLT-027</t>
  </si>
  <si>
    <t xml:space="preserve">TC-PLT-027 the absolute floor of 1 day holds even when the species minimum is 0</t>
  </si>
  <si>
    <t xml:space="preserve">TC-PLT-028</t>
  </si>
  <si>
    <t xml:space="preserve">TC-PLT-028 rejects the base interval 0</t>
  </si>
  <si>
    <t xml:space="preserve">TC-PLT-029</t>
  </si>
  <si>
    <t xml:space="preserve">TC-PLT-029 rejects inverted species bounds (min &gt; max)</t>
  </si>
  <si>
    <t xml:space="preserve">TC-PLT-030</t>
  </si>
  <si>
    <t xml:space="preserve">TC-PLT-030 the snapshot records every factor needed to explain the number (BR-PLT-08 clause 4)</t>
  </si>
  <si>
    <t xml:space="preserve">TC-PLT-031</t>
  </si>
  <si>
    <t xml:space="preserve">TC-PLT-031 is deterministic: identical inputs give bit-identical output (NFR-MAIN-04)</t>
  </si>
  <si>
    <t xml:space="preserve">TC-PLT-032</t>
  </si>
  <si>
    <t xml:space="preserve">TC-PLT-032 does not mutate its input</t>
  </si>
  <si>
    <t xml:space="preserve">TC-PLT-101</t>
  </si>
  <si>
    <t xml:space="preserve">TC-PLT-101 [data] the seeded catalogue holds at least 60 species (spec floor) with complete care profiles</t>
  </si>
  <si>
    <t xml:space="preserve">plants.verification.integration.test.ts</t>
  </si>
  <si>
    <t xml:space="preserve">TC-PLT-102</t>
  </si>
  <si>
    <t xml:space="preserve">TC-PLT-102 search is case-insensitive and returns care-profile fields</t>
  </si>
  <si>
    <t xml:space="preserve">TC-PLT-103</t>
  </si>
  <si>
    <t xml:space="preserve">TC-PLT-103 a query matching nothing returns an empty list with 200, not an error</t>
  </si>
  <si>
    <t xml:space="preserve">TC-PLT-104</t>
  </si>
  <si>
    <t xml:space="preserve">TC-PLT-104 SQL metacharacters in the query are treated as text (no 500)</t>
  </si>
  <si>
    <t xml:space="preserve">TC-PLT-105</t>
  </si>
  <si>
    <t xml:space="preserve">TC-PLT-105 creates a plant and returns 201 with an id and the computed interval</t>
  </si>
  <si>
    <t xml:space="preserve">TC-PLT-106</t>
  </si>
  <si>
    <t xml:space="preserve">TC-PLT-106 rejects empty nickname with 422</t>
  </si>
  <si>
    <t xml:space="preserve">TC-PLT-107</t>
  </si>
  <si>
    <t xml:space="preserve">TC-PLT-107 accepts the nickname boundaries of 1 and 80 characters</t>
  </si>
  <si>
    <t xml:space="preserve">TC-PLT-108</t>
  </si>
  <si>
    <t xml:space="preserve">TC-PLT-108 accepts the base interval boundaries of 1 and 365 days</t>
  </si>
  <si>
    <t xml:space="preserve">TC-PLT-109</t>
  </si>
  <si>
    <t xml:space="preserve">TC-PLT-109 an invalid light_exposure value is rejected with 422, not a server error</t>
  </si>
  <si>
    <t xml:space="preserve">TC-PLT-110</t>
  </si>
  <si>
    <t xml:space="preserve">TC-PLT-110 [DEF-006] a non-positive pot_diameter_cm (0 or negative) is rejected with 422</t>
  </si>
  <si>
    <t xml:space="preserve">DEF-006</t>
  </si>
  <si>
    <t xml:space="preserve">TC-PLT-111</t>
  </si>
  <si>
    <t xml:space="preserve">TC-PLT-111 list returns only the caller's plants</t>
  </si>
  <si>
    <t xml:space="preserve">TC-PLT-112</t>
  </si>
  <si>
    <t xml:space="preserve">TC-PLT-112 get by id returns the plant; an unknown valid UUID is 404</t>
  </si>
  <si>
    <t xml:space="preserve">TC-PLT-113</t>
  </si>
  <si>
    <t xml:space="preserve">TC-PLT-113 a malformed id is 422, not 500</t>
  </si>
  <si>
    <t xml:space="preserve">TC-PLT-114</t>
  </si>
  <si>
    <t xml:space="preserve">TC-PLT-114 update changes the nickname and persists it</t>
  </si>
  <si>
    <t xml:space="preserve">TC-PLT-115</t>
  </si>
  <si>
    <t xml:space="preserve">TC-PLT-115 [DEF-008] creating a plant sets its schedule (BR-PLT-10 T1): interval and factor snapshot are present</t>
  </si>
  <si>
    <t xml:space="preserve">DEF-008</t>
  </si>
  <si>
    <t xml:space="preserve">TC-PLT-115b</t>
  </si>
  <si>
    <t xml:space="preserve">TC-PLT-115b [DEF-008] editing light exposure recomputes the interval (BR-PLT-10 T4, FR-PLT-08)</t>
  </si>
  <si>
    <t xml:space="preserve">TC-PLT-116 archive is a soft delete: the plant disappears from list and get, 404 on repeat</t>
  </si>
  <si>
    <t xml:space="preserve">TC-PLT-117</t>
  </si>
  <si>
    <t xml:space="preserve">TC-PLT-117 logs a WATER action</t>
  </si>
  <si>
    <t xml:space="preserve">TC-PLT-118</t>
  </si>
  <si>
    <t xml:space="preserve">TC-PLT-118 rejects a care log with unknown action (422)</t>
  </si>
  <si>
    <t xml:space="preserve">TC-PLT-118b</t>
  </si>
  <si>
    <t xml:space="preserve">TC-PLT-118b [DEF-009] an impossible calendar date (month 13) is a 422, not an internal error</t>
  </si>
  <si>
    <t xml:space="preserve">TC-PLT-119</t>
  </si>
  <si>
    <t xml:space="preserve">TC-PLT-119 watering moves the next due date forward and records history, newest first</t>
  </si>
  <si>
    <t xml:space="preserve">TC-PLT-120</t>
  </si>
  <si>
    <t xml:space="preserve">TC-PLT-120 only WATER changes the schedule; FERTILIZE leaves next_water_due_at unchanged</t>
  </si>
  <si>
    <t xml:space="preserve">TC-PLT-121</t>
  </si>
  <si>
    <t xml:space="preserve">TC-PLT-121 two waterings in quick succession both succeed (double-tap safe)</t>
  </si>
  <si>
    <t xml:space="preserve">TC-PLT-122</t>
  </si>
  <si>
    <t xml:space="preserve">TC-PLT-122 adds an entry (201) and lists it</t>
  </si>
  <si>
    <t xml:space="preserve">TC-PLT-123</t>
  </si>
  <si>
    <t xml:space="preserve">TC-PLT-123 rejects non-http scheme (422)</t>
  </si>
  <si>
    <t xml:space="preserve">TC-PLT-124</t>
  </si>
  <si>
    <t xml:space="preserve">TC-PLT-124 accepts the height boundaries 0 and 5000 and the note boundary of 1000 characters</t>
  </si>
  <si>
    <t xml:space="preserve">TC-PLT-125</t>
  </si>
  <si>
    <t xml:space="preserve">TC-PLT-125 a plant holds at most 40 growth entries; the 41st is 409 LIMIT_EXCEEDED (NFR-SCAL-03)</t>
  </si>
  <si>
    <t xml:space="preserve">TC-PLT-125b</t>
  </si>
  <si>
    <t xml:space="preserve">TC-PLT-125b [DEF-007] a sixth entry for one plant on one local date is rejected (BR-PLT-38 / E-40)</t>
  </si>
  <si>
    <t xml:space="preserve">DEF-007</t>
  </si>
  <si>
    <t xml:space="preserve">TC-PLT-126</t>
  </si>
  <si>
    <t xml:space="preserve">TC-PLT-126 deleting an entry hides it; a repeat delete is 404</t>
  </si>
  <si>
    <t xml:space="preserve">TC-PLT-127</t>
  </si>
  <si>
    <t xml:space="preserve">TC-PLT-127 the caller can only create plants against a species that exists (foreign key)</t>
  </si>
  <si>
    <t xml:space="preserve">TC-SEC-001</t>
  </si>
  <si>
    <t xml:space="preserve">TC-SEC-001 GET /api/auth/me without a token -&gt; 401 and the standard error envelope</t>
  </si>
  <si>
    <t xml:space="preserve">authz.verification.integration.test.ts</t>
  </si>
  <si>
    <t xml:space="preserve">SEC</t>
  </si>
  <si>
    <t xml:space="preserve">TC-SEC-002</t>
  </si>
  <si>
    <t xml:space="preserve">TC-SEC-002 the public endpoints stay public: /healthz, /readyz, /api/v1</t>
  </si>
  <si>
    <t xml:space="preserve">TC-SEC-003</t>
  </si>
  <si>
    <t xml:space="preserve">TC-SEC-003 GET -&gt; 404 (not 403, so existence is not revealed)</t>
  </si>
  <si>
    <t xml:space="preserve">TC-SEC-004</t>
  </si>
  <si>
    <t xml:space="preserve">TC-SEC-004 PUT -&gt; 404 and the data is unchanged</t>
  </si>
  <si>
    <t xml:space="preserve">TC-SEC-005</t>
  </si>
  <si>
    <t xml:space="preserve">TC-SEC-005 DELETE -&gt; 404 and the plant survives</t>
  </si>
  <si>
    <t xml:space="preserve">TC-SEC-006</t>
  </si>
  <si>
    <t xml:space="preserve">TC-SEC-006 care logging against it -&gt; 404 and no event is recorded</t>
  </si>
  <si>
    <t xml:space="preserve">TC-SEC-007</t>
  </si>
  <si>
    <t xml:space="preserve">TC-SEC-007 reading or writing its growth log -&gt; 404</t>
  </si>
  <si>
    <t xml:space="preserve">TC-SEC-008</t>
  </si>
  <si>
    <t xml:space="preserve">TC-SEC-008 care history of it reveals nothing to another user (no events returned)</t>
  </si>
  <si>
    <t xml:space="preserve">TC-SEC-008b</t>
  </si>
  <si>
    <t xml:space="preserve">TC-SEC-008b [DEF-017] care history of another user's or a missing plant is 404, consistent with the growth endpoints</t>
  </si>
  <si>
    <t xml:space="preserve">DEF-017</t>
  </si>
  <si>
    <t xml:space="preserve">TC-SEC-009</t>
  </si>
  <si>
    <t xml:space="preserve">TC-SEC-009 the plant list never includes it</t>
  </si>
  <si>
    <t xml:space="preserve">TC-SEC-010</t>
  </si>
  <si>
    <t xml:space="preserve">TC-SEC-010 a user ID or role smuggled into a request body is ignored: the plant belongs to the caller</t>
  </si>
  <si>
    <t xml:space="preserve">TC-SEC-011</t>
  </si>
  <si>
    <t xml:space="preserve">TC-SEC-011 settings and account state are per user</t>
  </si>
  <si>
    <t xml:space="preserve">TC-SEC-101</t>
  </si>
  <si>
    <t xml:space="preserve">TC-SEC-101 allows exactly `max` requests in a window and refuses the next with RATE_LIMITED</t>
  </si>
  <si>
    <t xml:space="preserve">rateLimit.verification.test.ts</t>
  </si>
  <si>
    <t xml:space="preserve">TC-SEC-102</t>
  </si>
  <si>
    <t xml:space="preserve">TC-SEC-102 the refusal carries a Retry-After header in whole seconds</t>
  </si>
  <si>
    <t xml:space="preserve">TC-SEC-103</t>
  </si>
  <si>
    <t xml:space="preserve">TC-SEC-103 the window resets after windowMs</t>
  </si>
  <si>
    <t xml:space="preserve">TC-SEC-104</t>
  </si>
  <si>
    <t xml:space="preserve">TC-SEC-104 limits are tracked per client address</t>
  </si>
  <si>
    <t xml:space="preserve">TC-SEC-105</t>
  </si>
  <si>
    <t xml:space="preserve">TC-SEC-105 two limiters do not share counters</t>
  </si>
  <si>
    <t xml:space="preserve">TC-SEC-106</t>
  </si>
  <si>
    <t xml:space="preserve">TC-SEC-106 a request exactly at the reset instant starts a fresh window</t>
  </si>
  <si>
    <t xml:space="preserve">TC-SET-001</t>
  </si>
  <si>
    <t xml:space="preserve">TC-SET-001 a new account has all three modules enabled and documented defaults</t>
  </si>
  <si>
    <t xml:space="preserve">SET</t>
  </si>
  <si>
    <t xml:space="preserve">TC-SET-002</t>
  </si>
  <si>
    <t xml:space="preserve">TC-SET-002 {"theme":"DARK"} is saved and read back</t>
  </si>
  <si>
    <t xml:space="preserve">TC-SET-003</t>
  </si>
  <si>
    <t xml:space="preserve">TC-SET-003 rejects theme not in the enum with 422</t>
  </si>
  <si>
    <t xml:space="preserve">TC-SET-004</t>
  </si>
  <si>
    <t xml:space="preserve">TC-SET-004 at least one module must stay enabled (FR-SET module toggles)</t>
  </si>
  <si>
    <t xml:space="preserve">TC-SET-005</t>
  </si>
  <si>
    <t xml:space="preserve">TC-SET-005 quiet hours: WINDOW mode needs both times, and they must differ</t>
  </si>
  <si>
    <t xml:space="preserve">TC-SET-006</t>
  </si>
  <si>
    <t xml:space="preserve">TC-SET-006 a window that crosses midnight (22:00 -&gt; 07:00) is accepted</t>
  </si>
  <si>
    <t xml:space="preserve">TC-SET-007</t>
  </si>
  <si>
    <t xml:space="preserve">TC-SET-007 an empty update is harmless (200) and unknown keys do not create columns</t>
  </si>
  <si>
    <t xml:space="preserve">TC-SET-008</t>
  </si>
  <si>
    <t xml:space="preserve">TC-SET-008 [DEF-015] the timezone must be a valid IANA identifier (FR-SET / BR-ACC-15)</t>
  </si>
  <si>
    <t xml:space="preserve">DEF-015</t>
  </si>
  <si>
    <t xml:space="preserve">TC-SYS-001</t>
  </si>
  <si>
    <t xml:space="preserve">TC-SYS-001 rounds 0 to 0</t>
  </si>
  <si>
    <t xml:space="preserve">rounding.verification.test.ts</t>
  </si>
  <si>
    <t xml:space="preserve">SYS</t>
  </si>
  <si>
    <t xml:space="preserve">TC-SYS-002</t>
  </si>
  <si>
    <t xml:space="preserve">TC-SYS-002 rounds negative -0.4 half away from zero to 0</t>
  </si>
  <si>
    <t xml:space="preserve">TC-SYS-002b</t>
  </si>
  <si>
    <t xml:space="preserve">TC-SYS-002b [DEF-001] values in (-0.5, 0) round to +0, not negative zero</t>
  </si>
  <si>
    <t xml:space="preserve">DEF-001</t>
  </si>
  <si>
    <t xml:space="preserve">TC-SYS-003</t>
  </si>
  <si>
    <t xml:space="preserve">TC-SYS-003 rejects the non-finite value NaN</t>
  </si>
  <si>
    <t xml:space="preserve">TC-SYS-004</t>
  </si>
  <si>
    <t xml:space="preserve">TC-SYS-004 roundTo(529.2, 1) = 529.2</t>
  </si>
  <si>
    <t xml:space="preserve">TC-SYS-005</t>
  </si>
  <si>
    <t xml:space="preserve">TC-SYS-005 accepts the decimal places boundaries 0 and 10</t>
  </si>
  <si>
    <t xml:space="preserve">TC-SYS-006</t>
  </si>
  <si>
    <t xml:space="preserve">TC-SYS-006 rejects -1 decimal places</t>
  </si>
  <si>
    <t xml:space="preserve">TC-SYS-007</t>
  </si>
  <si>
    <t xml:space="preserve">TC-SYS-007 rejects the non-finite value NaN</t>
  </si>
  <si>
    <t xml:space="preserve">TC-SYS-008</t>
  </si>
  <si>
    <t xml:space="preserve">TC-SYS-008 returns the value inside the range and the nearest bound outside it</t>
  </si>
  <si>
    <t xml:space="preserve">TC-SYS-009</t>
  </si>
  <si>
    <t xml:space="preserve">TC-SYS-009 the bounds themselves are inclusive</t>
  </si>
  <si>
    <t xml:space="preserve">TC-SYS-010</t>
  </si>
  <si>
    <t xml:space="preserve">TC-SYS-010 a degenerate range (min = max) always returns that value</t>
  </si>
  <si>
    <t xml:space="preserve">TC-SYS-011</t>
  </si>
  <si>
    <t xml:space="preserve">TC-SYS-011 rejects an inverted range instead of returning a misleading value</t>
  </si>
  <si>
    <t xml:space="preserve">TC-SYS-101</t>
  </si>
  <si>
    <t xml:space="preserve">TC-SYS-101 requires authentication</t>
  </si>
  <si>
    <t xml:space="preserve">sync.verification.integration.test.ts</t>
  </si>
  <si>
    <t xml:space="preserve">TC-SYS-102</t>
  </si>
  <si>
    <t xml:space="preserve">TC-SYS-102 a valid event is PROCESSED once, with an entity id and replay=false</t>
  </si>
  <si>
    <t xml:space="preserve">TC-SYS-103</t>
  </si>
  <si>
    <t xml:space="preserve">TC-SYS-103 replaying the same key returns the recorded outcome and does not store a second row</t>
  </si>
  <si>
    <t xml:space="preserve">TC-SYS-104</t>
  </si>
  <si>
    <t xml:space="preserve">TC-SYS-104 a key already ingested through the online path counts as a successful replay</t>
  </si>
  <si>
    <t xml:space="preserve">TC-SYS-105</t>
  </si>
  <si>
    <t xml:space="preserve">TC-SYS-105 results come back in the order the events were sent</t>
  </si>
  <si>
    <t xml:space="preserve">TC-SYS-106</t>
  </si>
  <si>
    <t xml:space="preserve">TC-SYS-106 a bad payload fails only its own event (200, FAILED/VALIDATION_FAILED) and the next event still applies</t>
  </si>
  <si>
    <t xml:space="preserve">TC-SYS-107</t>
  </si>
  <si>
    <t xml:space="preserve">TC-SYS-107 a FAILED outcome is terminal: replaying the key returns the same failure</t>
  </si>
  <si>
    <t xml:space="preserve">TC-SYS-108</t>
  </si>
  <si>
    <t xml:space="preserve">TC-SYS-108 a payload with an unknown field fails that event (strict payload)</t>
  </si>
  <si>
    <t xml:space="preserve">TC-SYS-109</t>
  </si>
  <si>
    <t xml:space="preserve">TC-SYS-109 empty events array</t>
  </si>
  <si>
    <t xml:space="preserve">TC-SYS-110</t>
  </si>
  <si>
    <t xml:space="preserve">TC-SYS-110 exactly 50 events is accepted (boundary)</t>
  </si>
  <si>
    <t xml:space="preserve">TC-SYS-111</t>
  </si>
  <si>
    <t xml:space="preserve">TC-SYS-111 a care event for another user's plant fails with PARENT_NOT_FOUND</t>
  </si>
  <si>
    <t xml:space="preserve">TC-SYS-112</t>
  </si>
  <si>
    <t xml:space="preserve">TC-SYS-112 the same key sent by a different user is processed independently (keys are per user)</t>
  </si>
  <si>
    <t xml:space="preserve">TC-SYS-113</t>
  </si>
  <si>
    <t xml:space="preserve">TC-SYS-113 a dated event outside the accepted window (more than a year old) fails validation</t>
  </si>
  <si>
    <t xml:space="preserve">TC-SYS-114</t>
  </si>
  <si>
    <t xml:space="preserve">TC-SYS-114 [DEF-014] a workout body mass accepted online (20..635, BR-ACC-14) is also accepted from the queue</t>
  </si>
  <si>
    <t xml:space="preserve">DEF-014</t>
  </si>
  <si>
    <t xml:space="preserve">TC-SYS-115</t>
  </si>
  <si>
    <t xml:space="preserve">TC-SYS-115 a queued workout gets server-computed energy, like the online path</t>
  </si>
  <si>
    <t xml:space="preserve">TC-SYS-201</t>
  </si>
  <si>
    <t xml:space="preserve">TC-SYS-201 every error carries code, message, message_key (errors.*), request_id and an ISO timestamp</t>
  </si>
  <si>
    <t xml:space="preserve">TC-SYS-202</t>
  </si>
  <si>
    <t xml:space="preserve">TC-SYS-202 the request id header is returned and equals the id in the error body</t>
  </si>
  <si>
    <t xml:space="preserve">TC-SYS-203</t>
  </si>
  <si>
    <t xml:space="preserve">TC-SYS-203 a unique request id is generated per request</t>
  </si>
  <si>
    <t xml:space="preserve">TC-SYS-204</t>
  </si>
  <si>
    <t xml:space="preserve">TC-SYS-204 an unknown route returns 404 in the standard envelope</t>
  </si>
  <si>
    <t xml:space="preserve">TC-SYS-205</t>
  </si>
  <si>
    <t xml:space="preserve">TC-SYS-205 malformed JSON is a client error with the envelope, never a 500 and never a stack trace</t>
  </si>
  <si>
    <t xml:space="preserve">TC-SYS-206</t>
  </si>
  <si>
    <t xml:space="preserve">TC-SYS-206 [DEF-016] a body over the 1 MB limit is refused with 413, not a 500</t>
  </si>
  <si>
    <t xml:space="preserve">DEF-016</t>
  </si>
  <si>
    <t xml:space="preserve">TC-SYS-207</t>
  </si>
  <si>
    <t xml:space="preserve">TC-SYS-207 security headers are set and the framework is not advertised</t>
  </si>
  <si>
    <t xml:space="preserve">TC-SYS-208</t>
  </si>
  <si>
    <t xml:space="preserve">TC-SYS-208 CORS allows the configured origin with credentials and refuses others</t>
  </si>
  <si>
    <t xml:space="preserve">TC-SYS-209</t>
  </si>
  <si>
    <t xml:space="preserve">TC-SYS-209 a CORS preflight from an untrusted origin gets no allow headers</t>
  </si>
  <si>
    <t xml:space="preserve">TC-SYS-210</t>
  </si>
  <si>
    <t xml:space="preserve">TC-SYS-210 /healthz needs no database and reports status ok with an uptime</t>
  </si>
  <si>
    <t xml:space="preserve">TC-SYS-211</t>
  </si>
  <si>
    <t xml:space="preserve">TC-SYS-211 /readyz reports the database as up and is not cached</t>
  </si>
  <si>
    <t xml:space="preserve">TC-SYS-212</t>
  </si>
  <si>
    <t xml:space="preserve">TC-SYS-212 an unexpected failure returns a generic 500 with no SQL, path or stack in the body</t>
  </si>
  <si>
    <t xml:space="preserve">TC-SYS-301</t>
  </si>
  <si>
    <t xml:space="preserve">TC-SYS-301 shows a level-one heading and the 404 figure</t>
  </si>
  <si>
    <t xml:space="preserve">NotFoundPage.verification.test.tsx</t>
  </si>
  <si>
    <t xml:space="preserve">TC-SYS-302</t>
  </si>
  <si>
    <t xml:space="preserve">TC-SYS-302 the decorative status code is hidden from assistive technology</t>
  </si>
  <si>
    <t xml:space="preserve">TC-SYS-303</t>
  </si>
  <si>
    <t xml:space="preserve">TC-SYS-303 offers one way back, to the root, which works for signed-in and signed-out visitors</t>
  </si>
  <si>
    <t xml:space="preserve">TC-SYS-304</t>
  </si>
  <si>
    <t xml:space="preserve">TC-SYS-304 sets a descriptive document title</t>
  </si>
  <si>
    <t xml:space="preserve">TC-SYS-305</t>
  </si>
  <si>
    <t xml:space="preserve">TC-SYS-305 the message does not echo the requested address (no reflected content)</t>
  </si>
  <si>
    <t xml:space="preserve">TC-SYS-401</t>
  </si>
  <si>
    <t xml:space="preserve">TC-SYS-401 returns YYYY-MM-DD</t>
  </si>
  <si>
    <t xml:space="preserve">dates.verification.test.ts</t>
  </si>
  <si>
    <t xml:space="preserve">Unit (mobile logic)</t>
  </si>
  <si>
    <t xml:space="preserve">TC-SYS-402</t>
  </si>
  <si>
    <t xml:space="preserve">TC-SYS-402 local time 2026-01-05T09:00:00 -&gt; 2026-01-05 (zero padding, year and month edges, leap day)</t>
  </si>
  <si>
    <t xml:space="preserve">TC-SYS-403</t>
  </si>
  <si>
    <t xml:space="preserve">TC-SYS-403 the date changes exactly at local midnight, not at UTC midnight</t>
  </si>
  <si>
    <t xml:space="preserve">TC-SYS-404</t>
  </si>
  <si>
    <t xml:space="preserve">TC-SYS-404 the output always passes the API's date shape check</t>
  </si>
  <si>
    <t xml:space="preserve">TC-SYS-411</t>
  </si>
  <si>
    <t xml:space="preserve">TC-SYS-411 returns a canonical lowercase UUID v4</t>
  </si>
  <si>
    <t xml:space="preserve">ids.verification.test.ts</t>
  </si>
  <si>
    <t xml:space="preserve">TC-SYS-412</t>
  </si>
  <si>
    <t xml:space="preserve">TC-SYS-412 sets the version nibble to 4 and the variant to 8, 9, a or b, in 5000 keys</t>
  </si>
  <si>
    <t xml:space="preserve">TC-SYS-413</t>
  </si>
  <si>
    <t xml:space="preserve">TC-SYS-413 5000 keys are all distinct</t>
  </si>
  <si>
    <t xml:space="preserve">TC-SYS-414</t>
  </si>
  <si>
    <t xml:space="preserve">TC-SYS-414 hyphens sit at positions 8, 13, 18 and 23</t>
  </si>
  <si>
    <t xml:space="preserve">TC-SYS-415</t>
  </si>
  <si>
    <t xml:space="preserve">TC-SYS-415 UUID_V4 uppercase v4 -&gt; C232AB00-9414-41EC-B3C8-9F6BDECED846</t>
  </si>
  <si>
    <t xml:space="preserve">TC-SYS-421</t>
  </si>
  <si>
    <t xml:space="preserve">TC-SYS-421 online success returns the data, is not queued, and uses one v4 idempotency key</t>
  </si>
  <si>
    <t xml:space="preserve">writeThrough.verification.test.ts</t>
  </si>
  <si>
    <t xml:space="preserve">TC-SYS-422</t>
  </si>
  <si>
    <t xml:space="preserve">TC-SYS-422 a transport failure queues the write with the SAME key and tells the user it is saved on the device</t>
  </si>
  <si>
    <t xml:space="preserve">TC-SYS-423</t>
  </si>
  <si>
    <t xml:space="preserve">TC-SYS-423 a server rejection (not a transport failure) is thrown to the caller and is never queued</t>
  </si>
  <si>
    <t xml:space="preserve">TC-SYS-424</t>
  </si>
  <si>
    <t xml:space="preserve">TC-SYS-424 a non-API error is rethrown and never queued</t>
  </si>
  <si>
    <t xml:space="preserve">TC-SYS-425</t>
  </si>
  <si>
    <t xml:space="preserve">TC-SYS-425 two offline writes are queued in order</t>
  </si>
  <si>
    <t xml:space="preserve">TC-SYS-426</t>
  </si>
  <si>
    <t xml:space="preserve">TC-SYS-426 care payload omits an empty note and keeps the plant id and date</t>
  </si>
  <si>
    <t xml:space="preserve">TC-SYS-427</t>
  </si>
  <si>
    <t xml:space="preserve">TC-SYS-427 workout payload keeps a zero step count but omits fields that were not given</t>
  </si>
  <si>
    <t xml:space="preserve">TC-SYS-428</t>
  </si>
  <si>
    <t xml:space="preserve">TC-SYS-428 the queued meal payload contains only fields the server's strict schema accepts</t>
  </si>
  <si>
    <t xml:space="preserve">TC-SYS-429</t>
  </si>
  <si>
    <t xml:space="preserve">TC-SYS-429 a meal item keeps its food_id only when one was chosen</t>
  </si>
  <si>
    <t xml:space="preserve">TC-SYS-431</t>
  </si>
  <si>
    <t xml:space="preserve">TC-SYS-431 shows the server message with the first field detail for a 4xx</t>
  </si>
  <si>
    <t xml:space="preserve">TC-SYS-432</t>
  </si>
  <si>
    <t xml:space="preserve">TC-SYS-432 shows just the message when there is no detail</t>
  </si>
  <si>
    <t xml:space="preserve">TC-SYS-433</t>
  </si>
  <si>
    <t xml:space="preserve">TC-SYS-433 a 500 response never leaks its message; the fallback is used</t>
  </si>
  <si>
    <t xml:space="preserve">TC-SYS-434</t>
  </si>
  <si>
    <t xml:space="preserve">TC-SYS-434 a non-API error uses the fallback</t>
  </si>
  <si>
    <t xml:space="preserve">TC-SYS-501</t>
  </si>
  <si>
    <t xml:space="preserve">TC-SYS-501 VALIDATION_FAILED has an HTTP error status and an errors.* message key</t>
  </si>
  <si>
    <t xml:space="preserve">errorHandler.verification.test.ts</t>
  </si>
  <si>
    <t xml:space="preserve">TC-SYS-502</t>
  </si>
  <si>
    <t xml:space="preserve">TC-SYS-502 a thrown AppError(VALIDATION_FAILED) is answered with exactly its registered status and code</t>
  </si>
  <si>
    <t xml:space="preserve">TC-SYS-503</t>
  </si>
  <si>
    <t xml:space="preserve">TC-SYS-503 every error has request_id, an ISO timestamp, and the id is also a response header</t>
  </si>
  <si>
    <t xml:space="preserve">TC-SYS-504</t>
  </si>
  <si>
    <t xml:space="preserve">TC-SYS-504 throwing a string yields an opaque 500</t>
  </si>
  <si>
    <t xml:space="preserve">TC-SYS-505</t>
  </si>
  <si>
    <t xml:space="preserve">TC-SYS-505 a 5xx body never carries details or a cause</t>
  </si>
  <si>
    <t xml:space="preserve">TC-SYS-506</t>
  </si>
  <si>
    <t xml:space="preserve">TC-SYS-506 a ZodError becomes 422 with one detail per issue, naming the dotted field path</t>
  </si>
  <si>
    <t xml:space="preserve">TC-SYS-507</t>
  </si>
  <si>
    <t xml:space="preserve">TC-SYS-507 a root-level Zod issue is reported as (root)</t>
  </si>
  <si>
    <t xml:space="preserve">TC-SYS-508</t>
  </si>
  <si>
    <t xml:space="preserve">TC-SYS-508 details are capped at 50 entries</t>
  </si>
  <si>
    <t xml:space="preserve">TC-SYS-509</t>
  </si>
  <si>
    <t xml:space="preserve">TC-SYS-509 SQLSTATE 22P02 -&gt; 422 VALIDATION_FAILED and the raw SQL text is never shown</t>
  </si>
  <si>
    <t xml:space="preserve">TC-SYS-510</t>
  </si>
  <si>
    <t xml:space="preserve">TC-SYS-510 server-side SQLSTATE 40P01 stays an opaque 500 (not blamed on the client)</t>
  </si>
  <si>
    <t xml:space="preserve">TC-SYS-511</t>
  </si>
  <si>
    <t xml:space="preserve">TC-SYS-511 invalid JSON -&gt; 400 MALFORMED_REQUEST</t>
  </si>
  <si>
    <t xml:space="preserve">TC-SYS-512</t>
  </si>
  <si>
    <t xml:space="preserve">TC-SYS-512 [DEF-016] a body-parser "entity too large" failure is 413 PAYLOAD_TOO_LARGE (code exists in the registry)</t>
  </si>
  <si>
    <t xml:space="preserve">TC-SYS-513</t>
  </si>
  <si>
    <t xml:space="preserve">TC-SYS-513 [DEF-016] an unsupported charset or encoding is 415 UNSUPPORTED_MEDIA_TYPE (code exists in the registry)</t>
  </si>
  <si>
    <t xml:space="preserve">TC-SYS-514</t>
  </si>
  <si>
    <t xml:space="preserve">TC-SYS-514 [DEF-011] a RangeError raised by a domain rule on invalid input is a client error, not a 500</t>
  </si>
  <si>
    <t xml:space="preserve">TC-SYS-601</t>
  </si>
  <si>
    <t xml:space="preserve">TC-SYS-601 [DEF-018] POST /api/v1/media/uploads exists and is authenticated</t>
  </si>
  <si>
    <t xml:space="preserve">knowngaps.verification.integration.test.ts</t>
  </si>
  <si>
    <t xml:space="preserve">DEF-018</t>
  </si>
  <si>
    <t xml:space="preserve">TC-SYS-602</t>
  </si>
  <si>
    <t xml:space="preserve">TC-SYS-602 [DEF-018] an authenticated issue request is not 404</t>
  </si>
  <si>
    <t xml:space="preserve">TC-SYS-603</t>
  </si>
  <si>
    <t xml:space="preserve">TC-SYS-603 [DEF-018] finalize endpoint exists</t>
  </si>
  <si>
    <t xml:space="preserve">TC-SYS-604</t>
  </si>
  <si>
    <t xml:space="preserve">TC-SYS-604 growth photo today is only an http(s) link: data: and javascript: are rejected</t>
  </si>
  <si>
    <t xml:space="preserve">TC-ACC-401</t>
  </si>
  <si>
    <t xml:space="preserve">TC-ACC-401 [DEF-020] erased account with a still-valid token gets 401 or 410, not a 422 foreign-key leak</t>
  </si>
  <si>
    <t xml:space="preserve">DEF-020</t>
  </si>
  <si>
    <t xml:space="preserve">TC-ACC-402</t>
  </si>
  <si>
    <t xml:space="preserve">TC-ACC-402 [DEF-020] queued write for an erased account returns 410</t>
  </si>
  <si>
    <t xml:space="preserve">TC-ACC-403</t>
  </si>
  <si>
    <t xml:space="preserve">TC-ACC-403 [DEF-020] the 410 body carries ACC_ACCOUNT_DELETED</t>
  </si>
  <si>
    <t xml:space="preserve">TC-ACC-404</t>
  </si>
  <si>
    <t xml:space="preserve">TC-ACC-404 login after erasure does not succeed</t>
  </si>
  <si>
    <t xml:space="preserve">TC-NOT-301</t>
  </si>
  <si>
    <t xml:space="preserve">TC-NOT-301 /healthz is 200 without authentication</t>
  </si>
  <si>
    <t xml:space="preserve">TC-NOT-302</t>
  </si>
  <si>
    <t xml:space="preserve">TC-NOT-302 /readyz is 200 with a live database</t>
  </si>
  <si>
    <t xml:space="preserve">TC-DSH-301</t>
  </si>
  <si>
    <t xml:space="preserve">TC-DSH-301 dashboard requires authentication</t>
  </si>
  <si>
    <t xml:space="preserve">TC-DSH-302</t>
  </si>
  <si>
    <t xml:space="preserve">TC-DSH-302 dashboard returns a JSON object for a new user</t>
  </si>
  <si>
    <t xml:space="preserve">TC-DSH-303</t>
  </si>
  <si>
    <t xml:space="preserve">TC-DSH-303 dashboard for an impossible date is not a 500</t>
  </si>
  <si>
    <t xml:space="preserve">TC-NOT-201</t>
  </si>
  <si>
    <t xml:space="preserve">TC-NOT-201 limit is 100</t>
  </si>
  <si>
    <t xml:space="preserve">expoPush.verification.test.ts</t>
  </si>
  <si>
    <t xml:space="preserve">TC-NOT-202</t>
  </si>
  <si>
    <t xml:space="preserve">TC-NOT-202 empty input gives no batches</t>
  </si>
  <si>
    <t xml:space="preserve">TC-NOT-203</t>
  </si>
  <si>
    <t xml:space="preserve">TC-NOT-203 100 messages give one batch</t>
  </si>
  <si>
    <t xml:space="preserve">TC-NOT-204</t>
  </si>
  <si>
    <t xml:space="preserve">TC-NOT-204 101 messages give 100 and 1</t>
  </si>
  <si>
    <t xml:space="preserve">TC-NOT-205</t>
  </si>
  <si>
    <t xml:space="preserve">TC-NOT-205 250 messages give 100, 100, 50 and keep order</t>
  </si>
  <si>
    <t xml:space="preserve">TC-NOT-206</t>
  </si>
  <si>
    <t xml:space="preserve">TC-NOT-206 sends one request per batch</t>
  </si>
  <si>
    <t xml:space="preserve">TC-NOT-207</t>
  </si>
  <si>
    <t xml:space="preserve">TC-NOT-207 ok, DeviceNotRegistered and other errors are separated</t>
  </si>
  <si>
    <t xml:space="preserve">TC-NOT-208</t>
  </si>
  <si>
    <t xml:space="preserve">TC-NOT-208 missing ticket counts as failed, not delivered</t>
  </si>
  <si>
    <t xml:space="preserve">TC-NOT-209</t>
  </si>
  <si>
    <t xml:space="preserve">TC-NOT-209 non-2xx batch marks every token failed</t>
  </si>
  <si>
    <t xml:space="preserve">TC-NOT-210</t>
  </si>
  <si>
    <t xml:space="preserve">TC-NOT-210 network error marks batch failed and later batches still run</t>
  </si>
  <si>
    <t xml:space="preserve">TC-WEB-401</t>
  </si>
  <si>
    <t xml:space="preserve">TC-WEB-401 shows the page heading</t>
  </si>
  <si>
    <t xml:space="preserve">FitnessPage.verification.test.tsx</t>
  </si>
  <si>
    <t xml:space="preserve">WEB</t>
  </si>
  <si>
    <t xml:space="preserve">TC-WEB-402</t>
  </si>
  <si>
    <t xml:space="preserve">TC-WEB-402 empty list shows the empty state with a call to action</t>
  </si>
  <si>
    <t xml:space="preserve">TC-WEB-403</t>
  </si>
  <si>
    <t xml:space="preserve">TC-WEB-403 a logged workout is listed and the empty state is gone</t>
  </si>
  <si>
    <t xml:space="preserve">TC-WEB-404</t>
  </si>
  <si>
    <t xml:space="preserve">TC-WEB-404 workout list failure shows an error with retry, then recovers</t>
  </si>
  <si>
    <t xml:space="preserve">TC-WEB-405</t>
  </si>
  <si>
    <t xml:space="preserve">TC-WEB-405 summary failure does not hide the workout list</t>
  </si>
  <si>
    <t xml:space="preserve">TC-WEB-406</t>
  </si>
  <si>
    <t xml:space="preserve">TC-WEB-406 Log workout opens the modal</t>
  </si>
  <si>
    <t xml:space="preserve">TC-WEB-601</t>
  </si>
  <si>
    <t xml:space="preserve">TC-WEB-601 shows the heading</t>
  </si>
  <si>
    <t xml:space="preserve">NutritionPage.verification.test.tsx</t>
  </si>
  <si>
    <t xml:space="preserve">TC-WEB-602</t>
  </si>
  <si>
    <t xml:space="preserve">TC-WEB-602 empty day shows No meals logged</t>
  </si>
  <si>
    <t xml:space="preserve">TC-WEB-603</t>
  </si>
  <si>
    <t xml:space="preserve">TC-WEB-603 summary failure shows an error state</t>
  </si>
  <si>
    <t xml:space="preserve">TC-WEB-604</t>
  </si>
  <si>
    <t xml:space="preserve">TC-WEB-604 Log meal opens the modal with the Food field</t>
  </si>
  <si>
    <t xml:space="preserve">TC-WEB-605</t>
  </si>
  <si>
    <t xml:space="preserve">TC-WEB-605 typing in Food searches the catalogue</t>
  </si>
  <si>
    <t xml:space="preserve">TC-WEB-606</t>
  </si>
  <si>
    <t xml:space="preserve">TC-WEB-606 day navigation reloads the summary for another date</t>
  </si>
  <si>
    <t xml:space="preserve">TC-WEB-501</t>
  </si>
  <si>
    <t xml:space="preserve">TC-WEB-501 empty account shows the empty state</t>
  </si>
  <si>
    <t xml:space="preserve">PlantsPage.verification.test.tsx</t>
  </si>
  <si>
    <t xml:space="preserve">TC-WEB-502</t>
  </si>
  <si>
    <t xml:space="preserve">TC-WEB-502 load failure shows an error state</t>
  </si>
  <si>
    <t xml:space="preserve">TC-WEB-503</t>
  </si>
  <si>
    <t xml:space="preserve">TC-WEB-503 plants render by nickname</t>
  </si>
  <si>
    <t xml:space="preserve">TC-WEB-504</t>
  </si>
  <si>
    <t xml:space="preserve">TC-WEB-504 search filters the grid and reports the count</t>
  </si>
  <si>
    <t xml:space="preserve">TC-WEB-505</t>
  </si>
  <si>
    <t xml:space="preserve">TC-WEB-505 search with no hit shows No plants match</t>
  </si>
  <si>
    <t xml:space="preserve">TC-WEB-506</t>
  </si>
  <si>
    <t xml:space="preserve">TC-WEB-506 a never-watered plant says water once to start its schedule</t>
  </si>
  <si>
    <t xml:space="preserve">TC-WEB-507</t>
  </si>
  <si>
    <t xml:space="preserve">TC-WEB-507 Water logs a WATER care event for that plant</t>
  </si>
  <si>
    <t xml:space="preserve">TC-WEB-508</t>
  </si>
  <si>
    <t xml:space="preserve">TC-WEB-508 a failed Water call shows an error and does not refresh</t>
  </si>
  <si>
    <t xml:space="preserve">TC-WEB-509</t>
  </si>
  <si>
    <t xml:space="preserve">TC-WEB-509 Add plant opens the add dialog</t>
  </si>
  <si>
    <t xml:space="preserve">Run ID</t>
  </si>
  <si>
    <t xml:space="preserve">Test (full title)</t>
  </si>
  <si>
    <t xml:space="preserve">Suite</t>
  </si>
  <si>
    <t xml:space="preserve">Date</t>
  </si>
  <si>
    <t xml:space="preserve">Environment</t>
  </si>
  <si>
    <t xml:space="preserve">Result</t>
  </si>
  <si>
    <t xml:space="preserve">Defect ID</t>
  </si>
  <si>
    <t xml:space="preserve">Duration (ms)</t>
  </si>
  <si>
    <t xml:space="preserve">RUN-01</t>
  </si>
  <si>
    <t xml:space="preserve">shared</t>
  </si>
  <si>
    <t xml:space="preserve">2026-10-17</t>
  </si>
  <si>
    <t xml:space="preserve">Node 22.22.2 / PostgreSQL 16 / Vitest 4.1.10 / repo snapshot 2026-10-11</t>
  </si>
  <si>
    <t xml:space="preserve">Pass</t>
  </si>
  <si>
    <t xml:space="preserve">TC-FIT-004 MET 23 accepted=true (bound 1.0 to 23.0, inclusive)</t>
  </si>
  <si>
    <t xml:space="preserve">TC-FIT-004 MET 0.99 accepted=false (bound 1.0 to 23.0, inclusive)</t>
  </si>
  <si>
    <t xml:space="preserve">TC-FIT-004 MET 23.01 accepted=false (bound 1.0 to 23.0, inclusive)</t>
  </si>
  <si>
    <t xml:space="preserve">TC-FIT-004 MET 0 accepted=false (bound 1.0 to 23.0, inclusive)</t>
  </si>
  <si>
    <t xml:space="preserve">TC-FIT-004 MET -5 accepted=false (bound 1.0 to 23.0, inclusive)</t>
  </si>
  <si>
    <t xml:space="preserve">TC-FIT-004 MET NaN accepted=false (bound 1.0 to 23.0, inclusive)</t>
  </si>
  <si>
    <t xml:space="preserve">TC-FIT-005 rejects body mass -1</t>
  </si>
  <si>
    <t xml:space="preserve">TC-FIT-005 rejects body mass NaN</t>
  </si>
  <si>
    <t xml:space="preserve">TC-FIT-006 rejects duration -1</t>
  </si>
  <si>
    <t xml:space="preserve">TC-FIT-006 rejects duration NaN</t>
  </si>
  <si>
    <t xml:space="preserve">TC-FIT-006 rejects duration Infinity</t>
  </si>
  <si>
    <t xml:space="preserve">TC-FIT-010 100 kg x 12 reps -&gt; 140 kg</t>
  </si>
  <si>
    <t xml:space="preserve">TC-FIT-010 50 kg x 3 reps -&gt; 55 kg</t>
  </si>
  <si>
    <t xml:space="preserve">TC-FIT-012 rejects -1 reps</t>
  </si>
  <si>
    <t xml:space="preserve">TC-FIT-012 rejects 2.5 reps</t>
  </si>
  <si>
    <t xml:space="preserve">TC-FIT-012 rejects NaN reps</t>
  </si>
  <si>
    <t xml:space="preserve">TC-FIT-015 eligible(100 kg, 12 reps) = true</t>
  </si>
  <si>
    <t xml:space="preserve">TC-FIT-015 eligible(100 kg, 13 reps) = false</t>
  </si>
  <si>
    <t xml:space="preserve">TC-FIT-015 eligible(100 kg, 0 reps) = false</t>
  </si>
  <si>
    <t xml:space="preserve">TC-FIT-015 eligible(0 kg, 5 reps) = false</t>
  </si>
  <si>
    <t xml:space="preserve">TC-FIT-015 eligible(100 kg, 5.5 reps) = false</t>
  </si>
  <si>
    <t xml:space="preserve">TC-FIT-020 setVolumeKg rejects reps=1.5 weight=10</t>
  </si>
  <si>
    <t xml:space="preserve">TC-FIT-020 setVolumeKg rejects reps=5 weight=-0.5</t>
  </si>
  <si>
    <t xml:space="preserve">TC-FIT-020 setVolumeKg rejects reps=5 weight=NaN</t>
  </si>
  <si>
    <t xml:space="preserve">Fail</t>
  </si>
  <si>
    <t xml:space="preserve">TC-NUT-007 accepts mass max</t>
  </si>
  <si>
    <t xml:space="preserve">TC-NUT-007 accepts height min</t>
  </si>
  <si>
    <t xml:space="preserve">TC-NUT-007 accepts height max</t>
  </si>
  <si>
    <t xml:space="preserve">TC-NUT-007 accepts age min</t>
  </si>
  <si>
    <t xml:space="preserve">TC-NUT-007 accepts age max</t>
  </si>
  <si>
    <t xml:space="preserve">TC-NUT-008 rejects mass above 400</t>
  </si>
  <si>
    <t xml:space="preserve">TC-NUT-008 rejects height below 100</t>
  </si>
  <si>
    <t xml:space="preserve">TC-NUT-008 rejects height above 250</t>
  </si>
  <si>
    <t xml:space="preserve">TC-NUT-008 rejects age 15 (below the minimum age of 16)</t>
  </si>
  <si>
    <t xml:space="preserve">TC-NUT-008 rejects age above 120</t>
  </si>
  <si>
    <t xml:space="preserve">TC-NUT-008 rejects NaN mass</t>
  </si>
  <si>
    <t xml:space="preserve">TC-NUT-008 rejects Infinity height</t>
  </si>
  <si>
    <t xml:space="preserve">TC-NUT-008 rejects negative age</t>
  </si>
  <si>
    <t xml:space="preserve">TC-NUT-010 LIGHTLY_ACTIVE factor is 1.375</t>
  </si>
  <si>
    <t xml:space="preserve">TC-NUT-010 MODERATELY_ACTIVE factor is 1.55</t>
  </si>
  <si>
    <t xml:space="preserve">TC-NUT-010 VERY_ACTIVE factor is 1.725</t>
  </si>
  <si>
    <t xml:space="preserve">TC-NUT-010 EXTRA_ACTIVE factor is 1.9</t>
  </si>
  <si>
    <t xml:space="preserve">TC-NUT-012 TDEE(2000, MODERATELY_ACTIVE) = 3100</t>
  </si>
  <si>
    <t xml:space="preserve">TC-NUT-012 TDEE(2000, EXTRA_ACTIVE) = 3800</t>
  </si>
  <si>
    <t xml:space="preserve">TC-NUT-012 TDEE(1000, VERY_ACTIVE) = 1725</t>
  </si>
  <si>
    <t xml:space="preserve">TC-NUT-013 rejects BMR -1</t>
  </si>
  <si>
    <t xml:space="preserve">TC-NUT-013 rejects BMR NaN</t>
  </si>
  <si>
    <t xml:space="preserve">TC-NUT-013 rejects BMR Infinity</t>
  </si>
  <si>
    <t xml:space="preserve">TC-NUT-014 70 kg -&gt; 2450 ml (35 ml per kg)</t>
  </si>
  <si>
    <t xml:space="preserve">TC-NUT-014 400 kg -&gt; 14000 ml (35 ml per kg)</t>
  </si>
  <si>
    <t xml:space="preserve">TC-NUT-016 rejects body mass 400.1</t>
  </si>
  <si>
    <t xml:space="preserve">TC-NUT-016 rejects body mass NaN</t>
  </si>
  <si>
    <t xml:space="preserve">TC-NUT-018 {"proteinG":0,"carbohydrateG":0,"fatG":0} -&gt; 0 kcal</t>
  </si>
  <si>
    <t xml:space="preserve">TC-NUT-018 {"proteinG":1,"carbohydrateG":0,"fatG":0} -&gt; 4 kcal</t>
  </si>
  <si>
    <t xml:space="preserve">TC-NUT-018 {"proteinG":0,"carbohydrateG":0,"fatG":1} -&gt; 9 kcal</t>
  </si>
  <si>
    <t xml:space="preserve">TC-NUT-018 {"proteinG":0.25,"carbohydrateG":0.25,"fatG":0.25} -&gt; 4.3 kcal</t>
  </si>
  <si>
    <t xml:space="preserve">TC-NUT-019 rejects {"proteinG":0,"carbohydrateG":-0.1,"fatG":0}</t>
  </si>
  <si>
    <t xml:space="preserve">TC-NUT-019 rejects {"proteinG":0,"carbohydrateG":0,"fatG":null}</t>
  </si>
  <si>
    <t xml:space="preserve">TC-NUT-019 rejects {"proteinG":null,"carbohydrateG":0,"fatG":0}</t>
  </si>
  <si>
    <t xml:space="preserve">TC-SYS-001 rounds 0.49999 to 0</t>
  </si>
  <si>
    <t xml:space="preserve">TC-SYS-001 rounds 0.5 to 1</t>
  </si>
  <si>
    <t xml:space="preserve">TC-SYS-001 rounds 1.5 to 2</t>
  </si>
  <si>
    <t xml:space="preserve">TC-SYS-001 rounds 2.5 to 3</t>
  </si>
  <si>
    <t xml:space="preserve">TC-SYS-001 rounds 4.4999999 to 4</t>
  </si>
  <si>
    <t xml:space="preserve">TC-SYS-001 rounds 4.5 to 5</t>
  </si>
  <si>
    <t xml:space="preserve">TC-SYS-001 rounds 5.4625 to 5</t>
  </si>
  <si>
    <t xml:space="preserve">TC-SYS-001 rounds 38.6263 to 39</t>
  </si>
  <si>
    <t xml:space="preserve">TC-SYS-001 rounds 71.2332 to 71</t>
  </si>
  <si>
    <t xml:space="preserve">TC-SYS-002 rounds negative -0.5 half away from zero to -1</t>
  </si>
  <si>
    <t xml:space="preserve">TC-SYS-002 rounds negative -1.5 half away from zero to -2</t>
  </si>
  <si>
    <t xml:space="preserve">TC-SYS-002 rounds negative -2.5 half away from zero to -3</t>
  </si>
  <si>
    <t xml:space="preserve">TC-SYS-003 rejects the non-finite value Infinity</t>
  </si>
  <si>
    <t xml:space="preserve">TC-SYS-003 rejects the non-finite value -Infinity</t>
  </si>
  <si>
    <t xml:space="preserve">TC-SYS-004 roundTo(116.66666, 1) = 116.7</t>
  </si>
  <si>
    <t xml:space="preserve">TC-SYS-004 roundTo(1.25, 1) = 1.3</t>
  </si>
  <si>
    <t xml:space="preserve">TC-SYS-004 roundTo(1.35, 1) = 1.4</t>
  </si>
  <si>
    <t xml:space="preserve">TC-SYS-004 roundTo(2.5, 0) = 3</t>
  </si>
  <si>
    <t xml:space="preserve">TC-SYS-004 roundTo(0.125, 2) = 0.13</t>
  </si>
  <si>
    <t xml:space="preserve">TC-SYS-004 roundTo(-1.25, 1) = -1.3</t>
  </si>
  <si>
    <t xml:space="preserve">TC-SYS-006 rejects 11 decimal places</t>
  </si>
  <si>
    <t xml:space="preserve">TC-SYS-006 rejects 1.5 decimal places</t>
  </si>
  <si>
    <t xml:space="preserve">TC-SYS-006 rejects NaN decimal places</t>
  </si>
  <si>
    <t xml:space="preserve">TC-SYS-007 rejects the non-finite value Infinity</t>
  </si>
  <si>
    <t xml:space="preserve">TC-PLT-001 month 2 (February): NORTHERN=WINTER, SOUTHERN=SUMMER, EQUATORIAL=YEAR_ROUND</t>
  </si>
  <si>
    <t xml:space="preserve">TC-PLT-001 month 3 (March): NORTHERN=SPRING, SOUTHERN=AUTUMN, EQUATORIAL=YEAR_ROUND</t>
  </si>
  <si>
    <t xml:space="preserve">TC-PLT-001 month 4 (April): NORTHERN=SPRING, SOUTHERN=AUTUMN, EQUATORIAL=YEAR_ROUND</t>
  </si>
  <si>
    <t xml:space="preserve">TC-PLT-001 month 5 (May): NORTHERN=SPRING, SOUTHERN=AUTUMN, EQUATORIAL=YEAR_ROUND</t>
  </si>
  <si>
    <t xml:space="preserve">TC-PLT-001 month 6 (June): NORTHERN=SUMMER, SOUTHERN=WINTER, EQUATORIAL=YEAR_ROUND</t>
  </si>
  <si>
    <t xml:space="preserve">TC-PLT-001 month 7 (July): NORTHERN=SUMMER, SOUTHERN=WINTER, EQUATORIAL=YEAR_ROUND</t>
  </si>
  <si>
    <t xml:space="preserve">TC-PLT-001 month 8 (August): NORTHERN=SUMMER, SOUTHERN=WINTER, EQUATORIAL=YEAR_ROUND</t>
  </si>
  <si>
    <t xml:space="preserve">TC-PLT-001 month 9 (September): NORTHERN=AUTUMN, SOUTHERN=SPRING, EQUATORIAL=YEAR_ROUND</t>
  </si>
  <si>
    <t xml:space="preserve">TC-PLT-001 month 10 (October): NORTHERN=AUTUMN, SOUTHERN=SPRING, EQUATORIAL=YEAR_ROUND</t>
  </si>
  <si>
    <t xml:space="preserve">TC-PLT-001 month 11 (November): NORTHERN=AUTUMN, SOUTHERN=SPRING, EQUATORIAL=YEAR_ROUND</t>
  </si>
  <si>
    <t xml:space="preserve">TC-PLT-001 month 12 (December): NORTHERN=WINTER, SOUTHERN=SUMMER, EQUATORIAL=YEAR_ROUND</t>
  </si>
  <si>
    <t xml:space="preserve">TC-PLT-007 rejects a malformed date: no dashes</t>
  </si>
  <si>
    <t xml:space="preserve">TC-PLT-007 rejects a malformed date: slashes</t>
  </si>
  <si>
    <t xml:space="preserve">TC-PLT-007 rejects a malformed date: two-digit year</t>
  </si>
  <si>
    <t xml:space="preserve">TC-PLT-007 rejects a malformed date: month 00</t>
  </si>
  <si>
    <t xml:space="preserve">TC-PLT-007 rejects a malformed date: month 13</t>
  </si>
  <si>
    <t xml:space="preserve">TC-PLT-007 rejects a malformed date: trailing text</t>
  </si>
  <si>
    <t xml:space="preserve">TC-PLT-007 rejects a malformed date: letters</t>
  </si>
  <si>
    <t xml:space="preserve">TC-PLT-008 SUMMER has factor 0.8</t>
  </si>
  <si>
    <t xml:space="preserve">TC-PLT-008 AUTUMN has factor 1.15</t>
  </si>
  <si>
    <t xml:space="preserve">TC-PLT-008 WINTER has factor 1.4</t>
  </si>
  <si>
    <t xml:space="preserve">TC-PLT-008 YEAR_ROUND has factor 1</t>
  </si>
  <si>
    <t xml:space="preserve">TC-GAM-013 year end counts as exactly one day (2026-12-31 -&gt; 2027-01-01)</t>
  </si>
  <si>
    <t xml:space="preserve">TC-GAM-013 leap day in counts as exactly one day (2028-02-28 -&gt; 2028-02-29)</t>
  </si>
  <si>
    <t xml:space="preserve">TC-GAM-013 leap day out counts as exactly one day (2028-02-29 -&gt; 2028-03-01)</t>
  </si>
  <si>
    <t xml:space="preserve">TC-GAM-013 non-leap February counts as exactly one day (2027-02-28 -&gt; 2027-03-01)</t>
  </si>
  <si>
    <t xml:space="preserve">TC-GAM-013 EU spring-forward weekend counts as exactly one day (2026-03-28 -&gt; 2026-03-29)</t>
  </si>
  <si>
    <t xml:space="preserve">TC-GAM-013 EU fall-back weekend counts as exactly one day (2026-10-24 -&gt; 2026-10-25)</t>
  </si>
  <si>
    <t xml:space="preserve">TC-GAM-013 US spring-forward counts as exactly one day (2026-03-07 -&gt; 2026-03-08)</t>
  </si>
  <si>
    <t xml:space="preserve">TC-GAM-013 US fall-back counts as exactly one day (2026-10-31 -&gt; 2026-11-01)</t>
  </si>
  <si>
    <t xml:space="preserve">TC-GAM-016 rejects the date "2026-7-1"</t>
  </si>
  <si>
    <t xml:space="preserve">TC-GAM-016 rejects the date "07/01/2026"</t>
  </si>
  <si>
    <t xml:space="preserve">TC-GAM-016 rejects the date "2026-07-01T00:00:00Z"</t>
  </si>
  <si>
    <t xml:space="preserve">TC-GAM-016 rejects the date "yesterday"</t>
  </si>
  <si>
    <t xml:space="preserve">TC-PLT-011 MEDIUM = 1.1</t>
  </si>
  <si>
    <t xml:space="preserve">TC-PLT-011 BRIGHT_INDIRECT = 1</t>
  </si>
  <si>
    <t xml:space="preserve">TC-PLT-011 DIRECT_SUN = 0.85</t>
  </si>
  <si>
    <t xml:space="preserve">TC-PLT-012 TERRACOTTA = 0.8</t>
  </si>
  <si>
    <t xml:space="preserve">TC-PLT-012 CONCRETE = 0.9</t>
  </si>
  <si>
    <t xml:space="preserve">TC-PLT-012 CERAMIC_GLAZED = 1</t>
  </si>
  <si>
    <t xml:space="preserve">TC-PLT-012 OTHER = 1</t>
  </si>
  <si>
    <t xml:space="preserve">TC-PLT-012 METAL = 1.05</t>
  </si>
  <si>
    <t xml:space="preserve">TC-PLT-012 PLASTIC = 1.1</t>
  </si>
  <si>
    <t xml:space="preserve">TC-PLT-013 9.9 cm -&gt; 0.8</t>
  </si>
  <si>
    <t xml:space="preserve">TC-PLT-013 10 cm -&gt; 0.9</t>
  </si>
  <si>
    <t xml:space="preserve">TC-PLT-013 14.9 cm -&gt; 0.9</t>
  </si>
  <si>
    <t xml:space="preserve">TC-PLT-013 15 cm -&gt; 1</t>
  </si>
  <si>
    <t xml:space="preserve">TC-PLT-013 19.9 cm -&gt; 1</t>
  </si>
  <si>
    <t xml:space="preserve">TC-PLT-013 20 cm -&gt; 1.15</t>
  </si>
  <si>
    <t xml:space="preserve">TC-PLT-013 29.9 cm -&gt; 1.15</t>
  </si>
  <si>
    <t xml:space="preserve">TC-PLT-013 30 cm -&gt; 1.3</t>
  </si>
  <si>
    <t xml:space="preserve">TC-PLT-013 39.9 cm -&gt; 1.3</t>
  </si>
  <si>
    <t xml:space="preserve">TC-PLT-013 40 cm -&gt; 1.45</t>
  </si>
  <si>
    <t xml:space="preserve">TC-PLT-013 500 cm -&gt; 1.45</t>
  </si>
  <si>
    <t xml:space="preserve">TC-PLT-015 rejects the invalid diameter -1</t>
  </si>
  <si>
    <t xml:space="preserve">TC-PLT-015 rejects the invalid diameter -0.1</t>
  </si>
  <si>
    <t xml:space="preserve">TC-PLT-015 rejects the invalid diameter NaN</t>
  </si>
  <si>
    <t xml:space="preserve">TC-PLT-015 rejects the invalid diameter Infinity</t>
  </si>
  <si>
    <t xml:space="preserve">TC-PLT-017 placement OUTDOOR = 0.85</t>
  </si>
  <si>
    <t xml:space="preserve">TC-PLT-018 soil CACTUS_SUCCULENT = 0.85</t>
  </si>
  <si>
    <t xml:space="preserve">TC-PLT-018 soil GARDEN_SOIL = 0.95</t>
  </si>
  <si>
    <t xml:space="preserve">TC-PLT-018 soil STANDARD_POTTING = 1</t>
  </si>
  <si>
    <t xml:space="preserve">TC-PLT-018 soil OTHER = 1</t>
  </si>
  <si>
    <t xml:space="preserve">TC-PLT-018 soil PEAT_BASED = 1.1</t>
  </si>
  <si>
    <t xml:space="preserve">TC-PLT-018 soil COCO_COIR = 1.1</t>
  </si>
  <si>
    <t xml:space="preserve">TC-PLT-018 soil SEMI_HYDRO_LECA = 1.3</t>
  </si>
  <si>
    <t xml:space="preserve">TC-PLT-019 climate AIR_CONDITIONED = 0.9</t>
  </si>
  <si>
    <t xml:space="preserve">TC-PLT-019 climate NONE = 1</t>
  </si>
  <si>
    <t xml:space="preserve">TC-PLT-019 climate HUMID_ROOM = 1.2</t>
  </si>
  <si>
    <t xml:space="preserve">TC-PLT-020 'E2' 'stacked lengthening (Snake Plant)' -&gt; 39 days (clamped: null)</t>
  </si>
  <si>
    <t xml:space="preserve">TC-PLT-020 'E3' 'clamp at MAX (Golden Barrel Cactus)' -&gt; 60 days (clamped: 'MAX')</t>
  </si>
  <si>
    <t xml:space="preserve">TC-PLT-020 'E4' 'clamp at MIN (Boston Fern)' -&gt; 2 days (clamped: 'MIN')</t>
  </si>
  <si>
    <t xml:space="preserve">TC-PLT-020 'E5' 'equatorial (Heartleaf Philodendron)' -&gt; 7 days (clamped: null)</t>
  </si>
  <si>
    <t xml:space="preserve">TC-PLT-020 'E6' 'rounding boundary (Peace Lily)' -&gt; 5 days (clamped: null)</t>
  </si>
  <si>
    <t xml:space="preserve">TC-PLT-028 rejects the base interval -1</t>
  </si>
  <si>
    <t xml:space="preserve">TC-PLT-028 rejects the base interval NaN</t>
  </si>
  <si>
    <t xml:space="preserve">TC-PLT-028 rejects the base interval Infinity</t>
  </si>
  <si>
    <t xml:space="preserve">web</t>
  </si>
  <si>
    <t xml:space="preserve">TC-ACC-206 EMAIL_NOT_VERIFIED shows a clear message and keeps the user on the form</t>
  </si>
  <si>
    <t xml:space="preserve">TC-ACC-206 RATE_LIMITED shows a clear message and keeps the user on the form</t>
  </si>
  <si>
    <t xml:space="preserve">TC-ACC-206 ACC_ACCOUNT_LOCKED shows a clear message and keeps the user on the form</t>
  </si>
  <si>
    <t xml:space="preserve">TC-ACC-206 ACCOUNT_LOCKED shows a clear message and keeps the user on the form</t>
  </si>
  <si>
    <t xml:space="preserve">TC-ACC-224 rejects the email "a@b"</t>
  </si>
  <si>
    <t xml:space="preserve">TC-ACC-224 rejects the email ""</t>
  </si>
  <si>
    <t xml:space="preserve">TC-ACC-231 success with email verification shows a neutral message that does not reveal whether the address was already registered (BR-ACC-10)</t>
  </si>
  <si>
    <t xml:space="preserve">mobile</t>
  </si>
  <si>
    <t xml:space="preserve">TC-SYS-415 UUID_V4 version 1 -&gt; c232ab00-9414-11ec-b3c8-9f6bdeced846</t>
  </si>
  <si>
    <t xml:space="preserve">TC-SYS-415 UUID_V4 bad variant -&gt; c232ab00-9414-41ec-c3c8-9f6bdeced846</t>
  </si>
  <si>
    <t xml:space="preserve">TC-SYS-415 UUID_V4 no hyphens -&gt; c232ab00941441ecb3c89f6bdeced846</t>
  </si>
  <si>
    <t xml:space="preserve">TC-SYS-415 UUID_V4 empty -&gt; </t>
  </si>
  <si>
    <t xml:space="preserve">TC-SYS-433 a 503 response never leaks its message; the fallback is used</t>
  </si>
  <si>
    <t xml:space="preserve">TC-SYS-433 a 0 response never leaks its message; the fallback is used</t>
  </si>
  <si>
    <t xml:space="preserve">TC-SYS-402 local time 2026-09-09T09:00:00 -&gt; 2026-09-09 (zero padding, year and month edges, leap day)</t>
  </si>
  <si>
    <t xml:space="preserve">TC-SYS-402 local time 2026-12-31T23:59:59 -&gt; 2026-12-31 (zero padding, year and month edges, leap day)</t>
  </si>
  <si>
    <t xml:space="preserve">TC-SYS-402 local time 2027-01-01T00:00:00 -&gt; 2027-01-01 (zero padding, year and month edges, leap day)</t>
  </si>
  <si>
    <t xml:space="preserve">TC-SYS-402 local time 2028-02-29T12:00:00 -&gt; 2028-02-29 (zero padding, year and month edges, leap day)</t>
  </si>
  <si>
    <t xml:space="preserve">TC-SYS-402 local time 2026-03-01T00:00:01 -&gt; 2026-03-01 (zero padding, year and month edges, leap day)</t>
  </si>
  <si>
    <t xml:space="preserve">api</t>
  </si>
  <si>
    <t xml:space="preserve">TC-SYS-501 MALFORMED_REQUEST has an HTTP error status and an errors.* message key</t>
  </si>
  <si>
    <t xml:space="preserve">TC-SYS-501 AUTHENTICATION_REQUIRED has an HTTP error status and an errors.* message key</t>
  </si>
  <si>
    <t xml:space="preserve">TC-SYS-501 INVALID_CREDENTIALS has an HTTP error status and an errors.* message key</t>
  </si>
  <si>
    <t xml:space="preserve">TC-SYS-501 TOKEN_EXPIRED has an HTTP error status and an errors.* message key</t>
  </si>
  <si>
    <t xml:space="preserve">TC-SYS-501 TOKEN_INVALID has an HTTP error status and an errors.* message key</t>
  </si>
  <si>
    <t xml:space="preserve">TC-SYS-501 TOKEN_REUSE_DETECTED has an HTTP error status and an errors.* message key</t>
  </si>
  <si>
    <t xml:space="preserve">TC-SYS-501 EMAIL_NOT_VERIFIED has an HTTP error status and an errors.* message key</t>
  </si>
  <si>
    <t xml:space="preserve">TC-SYS-501 FORBIDDEN has an HTTP error status and an errors.* message key</t>
  </si>
  <si>
    <t xml:space="preserve">TC-SYS-501 ACCOUNT_LOCKED has an HTTP error status and an errors.* message key</t>
  </si>
  <si>
    <t xml:space="preserve">TC-SYS-501 ACC_UNDERAGE has an HTTP error status and an errors.* message key</t>
  </si>
  <si>
    <t xml:space="preserve">TC-SYS-501 NOT_FOUND has an HTTP error status and an errors.* message key</t>
  </si>
  <si>
    <t xml:space="preserve">TC-SYS-501 CONFLICT has an HTTP error status and an errors.* message key</t>
  </si>
  <si>
    <t xml:space="preserve">TC-SYS-501 CURSOR_EXPIRED has an HTTP error status and an errors.* message key</t>
  </si>
  <si>
    <t xml:space="preserve">TC-SYS-501 PAYLOAD_TOO_LARGE has an HTTP error status and an errors.* message key</t>
  </si>
  <si>
    <t xml:space="preserve">TC-SYS-501 UNSUPPORTED_MEDIA_TYPE has an HTTP error status and an errors.* message key</t>
  </si>
  <si>
    <t xml:space="preserve">TC-SYS-501 RATE_LIMITED has an HTTP error status and an errors.* message key</t>
  </si>
  <si>
    <t xml:space="preserve">TC-SYS-501 ACC_ACCOUNT_LOCKED has an HTTP error status and an errors.* message key</t>
  </si>
  <si>
    <t xml:space="preserve">TC-SYS-501 INTERNAL_ERROR has an HTTP error status and an errors.* message key</t>
  </si>
  <si>
    <t xml:space="preserve">TC-SYS-501 UPSTREAM_ERROR has an HTTP error status and an errors.* message key</t>
  </si>
  <si>
    <t xml:space="preserve">TC-SYS-501 SERVICE_UNAVAILABLE has an HTTP error status and an errors.* message key</t>
  </si>
  <si>
    <t xml:space="preserve">TC-SYS-501 UPSTREAM_TIMEOUT has an HTTP error status and an errors.* message key</t>
  </si>
  <si>
    <t xml:space="preserve">TC-SYS-502 a thrown AppError(MALFORMED_REQUEST) is answered with exactly its registered status and code</t>
  </si>
  <si>
    <t xml:space="preserve">TC-SYS-502 a thrown AppError(AUTHENTICATION_REQUIRED) is answered with exactly its registered status and code</t>
  </si>
  <si>
    <t xml:space="preserve">TC-SYS-502 a thrown AppError(INVALID_CREDENTIALS) is answered with exactly its registered status and code</t>
  </si>
  <si>
    <t xml:space="preserve">TC-SYS-502 a thrown AppError(TOKEN_EXPIRED) is answered with exactly its registered status and code</t>
  </si>
  <si>
    <t xml:space="preserve">TC-SYS-502 a thrown AppError(TOKEN_INVALID) is answered with exactly its registered status and code</t>
  </si>
  <si>
    <t xml:space="preserve">TC-SYS-502 a thrown AppError(TOKEN_REUSE_DETECTED) is answered with exactly its registered status and code</t>
  </si>
  <si>
    <t xml:space="preserve">TC-SYS-502 a thrown AppError(EMAIL_NOT_VERIFIED) is answered with exactly its registered status and code</t>
  </si>
  <si>
    <t xml:space="preserve">TC-SYS-502 a thrown AppError(FORBIDDEN) is answered with exactly its registered status and code</t>
  </si>
  <si>
    <t xml:space="preserve">TC-SYS-502 a thrown AppError(ACCOUNT_LOCKED) is answered with exactly its registered status and code</t>
  </si>
  <si>
    <t xml:space="preserve">TC-SYS-502 a thrown AppError(ACC_UNDERAGE) is answered with exactly its registered status and code</t>
  </si>
  <si>
    <t xml:space="preserve">TC-SYS-502 a thrown AppError(NOT_FOUND) is answered with exactly its registered status and code</t>
  </si>
  <si>
    <t xml:space="preserve">TC-SYS-502 a thrown AppError(CONFLICT) is answered with exactly its registered status and code</t>
  </si>
  <si>
    <t xml:space="preserve">TC-SYS-502 a thrown AppError(CURSOR_EXPIRED) is answered with exactly its registered status and code</t>
  </si>
  <si>
    <t xml:space="preserve">TC-SYS-502 a thrown AppError(PAYLOAD_TOO_LARGE) is answered with exactly its registered status and code</t>
  </si>
  <si>
    <t xml:space="preserve">TC-SYS-502 a thrown AppError(UNSUPPORTED_MEDIA_TYPE) is answered with exactly its registered status and code</t>
  </si>
  <si>
    <t xml:space="preserve">TC-SYS-502 a thrown AppError(RATE_LIMITED) is answered with exactly its registered status and code</t>
  </si>
  <si>
    <t xml:space="preserve">TC-SYS-502 a thrown AppError(ACC_ACCOUNT_LOCKED) is answered with exactly its registered status and code</t>
  </si>
  <si>
    <t xml:space="preserve">TC-SYS-502 a thrown AppError(INTERNAL_ERROR) is answered with exactly its registered status and code</t>
  </si>
  <si>
    <t xml:space="preserve">TC-SYS-502 a thrown AppError(UPSTREAM_ERROR) is answered with exactly its registered status and code</t>
  </si>
  <si>
    <t xml:space="preserve">TC-SYS-502 a thrown AppError(SERVICE_UNAVAILABLE) is answered with exactly its registered status and code</t>
  </si>
  <si>
    <t xml:space="preserve">TC-SYS-502 a thrown AppError(UPSTREAM_TIMEOUT) is answered with exactly its registered status and code</t>
  </si>
  <si>
    <t xml:space="preserve">TC-SYS-504 throwing a number yields an opaque 500</t>
  </si>
  <si>
    <t xml:space="preserve">TC-SYS-504 throwing a plain object yields an opaque 500</t>
  </si>
  <si>
    <t xml:space="preserve">TC-SYS-509 SQLSTATE 22001 -&gt; 422 VALIDATION_FAILED and the raw SQL text is never shown</t>
  </si>
  <si>
    <t xml:space="preserve">TC-SYS-509 SQLSTATE 22003 -&gt; 422 VALIDATION_FAILED and the raw SQL text is never shown</t>
  </si>
  <si>
    <t xml:space="preserve">TC-SYS-509 SQLSTATE 22007 -&gt; 422 VALIDATION_FAILED and the raw SQL text is never shown</t>
  </si>
  <si>
    <t xml:space="preserve">TC-SYS-509 SQLSTATE 22008 -&gt; 422 VALIDATION_FAILED and the raw SQL text is never shown</t>
  </si>
  <si>
    <t xml:space="preserve">TC-SYS-509 SQLSTATE 23502 -&gt; 422 VALIDATION_FAILED and the raw SQL text is never shown</t>
  </si>
  <si>
    <t xml:space="preserve">TC-SYS-509 SQLSTATE 23503 -&gt; 422 VALIDATION_FAILED and the raw SQL text is never shown</t>
  </si>
  <si>
    <t xml:space="preserve">TC-SYS-509 SQLSTATE 23514 -&gt; 422 VALIDATION_FAILED and the raw SQL text is never shown</t>
  </si>
  <si>
    <t xml:space="preserve">TC-SYS-509 SQLSTATE 23505 -&gt; 409 CONFLICT and the raw SQL text is never shown</t>
  </si>
  <si>
    <t xml:space="preserve">TC-SYS-510 server-side SQLSTATE 57014 stays an opaque 500 (not blamed on the client)</t>
  </si>
  <si>
    <t xml:space="preserve">TC-SYS-510 server-side SQLSTATE 08006 stays an opaque 500 (not blamed on the client)</t>
  </si>
  <si>
    <t xml:space="preserve">TC-SYS-510 server-side SQLSTATE 53300 stays an opaque 500 (not blamed on the client)</t>
  </si>
  <si>
    <t xml:space="preserve">TC-ACC-002 rejects email without @ with 422 and names the field</t>
  </si>
  <si>
    <t xml:space="preserve">TC-ACC-002 rejects email of 4 characters with 422 and names the field</t>
  </si>
  <si>
    <t xml:space="preserve">TC-ACC-002 rejects missing password with 422 and names the field</t>
  </si>
  <si>
    <t xml:space="preserve">TC-ACC-002 rejects age not confirmed with 422 and names the field</t>
  </si>
  <si>
    <t xml:space="preserve">TC-ACC-002 rejects age confirmation absent with 422 and names the field</t>
  </si>
  <si>
    <t xml:space="preserve">TC-ACC-002 rejects age confirmation as string "true" with 422 and names the field</t>
  </si>
  <si>
    <t xml:space="preserve">TC-ACC-005 a 12-character password returns 202</t>
  </si>
  <si>
    <t xml:space="preserve">TC-ACC-005 a 128-character password returns 202</t>
  </si>
  <si>
    <t xml:space="preserve">TC-ACC-005 a 129-character password returns 422</t>
  </si>
  <si>
    <t xml:space="preserve">TC-ACC-018 scheme "bearer lowercase-scheme" -&gt; 401</t>
  </si>
  <si>
    <t xml:space="preserve">TC-ACC-018 scheme "Token abc" -&gt; 401</t>
  </si>
  <si>
    <t xml:space="preserve">TC-SEC-001 GET /api/v1/plants without a token -&gt; 401 and the standard error envelope</t>
  </si>
  <si>
    <t xml:space="preserve">TC-SEC-001 POST /api/v1/plants without a token -&gt; 401 and the standard error envelope</t>
  </si>
  <si>
    <t xml:space="preserve">TC-SEC-001 GET /api/v1/plants/species without a token -&gt; 401 and the standard error envelope</t>
  </si>
  <si>
    <t xml:space="preserve">TC-SEC-001 GET /api/v1/plants/00000000-0000-4000-8000-000000000000 without a token -&gt; 401 and the standard error envelope</t>
  </si>
  <si>
    <t xml:space="preserve">TC-SEC-001 PUT /api/v1/plants/00000000-0000-4000-8000-000000000000 without a token -&gt; 401 and the standard error envelope</t>
  </si>
  <si>
    <t xml:space="preserve">TC-SEC-001 DELETE /api/v1/plants/00000000-0000-4000-8000-000000000000 without a token -&gt; 401 and the standard error envelope</t>
  </si>
  <si>
    <t xml:space="preserve">TC-SEC-001 POST /api/v1/plants/00000000-0000-4000-8000-000000000000/care without a token -&gt; 401 and the standard error envelope</t>
  </si>
  <si>
    <t xml:space="preserve">TC-SEC-001 GET /api/v1/plants/00000000-0000-4000-8000-000000000000/care without a token -&gt; 401 and the standard error envelope</t>
  </si>
  <si>
    <t xml:space="preserve">TC-SEC-001 POST /api/v1/plants/00000000-0000-4000-8000-000000000000/growth without a token -&gt; 401 and the standard error envelope</t>
  </si>
  <si>
    <t xml:space="preserve">TC-SEC-001 GET /api/v1/plants/00000000-0000-4000-8000-000000000000/growth without a token -&gt; 401 and the standard error envelope</t>
  </si>
  <si>
    <t xml:space="preserve">TC-SEC-001 GET /api/v1/fitness without a token -&gt; 401 and the standard error envelope</t>
  </si>
  <si>
    <t xml:space="preserve">TC-SEC-001 POST /api/v1/fitness without a token -&gt; 401 and the standard error envelope</t>
  </si>
  <si>
    <t xml:space="preserve">TC-SEC-001 GET /api/v1/fitness/exercises without a token -&gt; 401 and the standard error envelope</t>
  </si>
  <si>
    <t xml:space="preserve">TC-SEC-001 GET /api/v1/fitness/personal-records without a token -&gt; 401 and the standard error envelope</t>
  </si>
  <si>
    <t xml:space="preserve">TC-SEC-001 GET /api/v1/fitness/summary without a token -&gt; 401 and the standard error envelope</t>
  </si>
  <si>
    <t xml:space="preserve">TC-SEC-001 GET /api/v1/fitness/00000000-0000-4000-8000-000000000000 without a token -&gt; 401 and the standard error envelope</t>
  </si>
  <si>
    <t xml:space="preserve">TC-SEC-001 GET /api/v1/nutrition/foods/search without a token -&gt; 401 and the standard error envelope</t>
  </si>
  <si>
    <t xml:space="preserve">TC-SEC-001 POST /api/v1/nutrition/foods without a token -&gt; 401 and the standard error envelope</t>
  </si>
  <si>
    <t xml:space="preserve">TC-SEC-001 DELETE /api/v1/nutrition/foods/00000000-0000-4000-8000-000000000000 without a token -&gt; 401 and the standard error envelope</t>
  </si>
  <si>
    <t xml:space="preserve">TC-SEC-001 GET /api/v1/nutrition/summary without a token -&gt; 401 and the standard error envelope</t>
  </si>
  <si>
    <t xml:space="preserve">TC-SEC-001 POST /api/v1/nutrition/meals without a token -&gt; 401 and the standard error envelope</t>
  </si>
  <si>
    <t xml:space="preserve">TC-SEC-001 POST /api/v1/nutrition/water without a token -&gt; 401 and the standard error envelope</t>
  </si>
  <si>
    <t xml:space="preserve">TC-SEC-001 GET /api/v1/dashboard without a token -&gt; 401 and the standard error envelope</t>
  </si>
  <si>
    <t xml:space="preserve">TC-SEC-001 GET /api/v1/achievements without a token -&gt; 401 and the standard error envelope</t>
  </si>
  <si>
    <t xml:space="preserve">TC-SEC-001 GET /api/v1/achievements/streaks without a token -&gt; 401 and the standard error envelope</t>
  </si>
  <si>
    <t xml:space="preserve">TC-SEC-001 POST /api/v1/achievements/seen without a token -&gt; 401 and the standard error envelope</t>
  </si>
  <si>
    <t xml:space="preserve">TC-SEC-001 GET /api/v1/reminders without a token -&gt; 401 and the standard error envelope</t>
  </si>
  <si>
    <t xml:space="preserve">TC-SEC-001 POST /api/v1/reminders/00000000-0000-4000-8000-000000000000/dismiss without a token -&gt; 401 and the standard error envelope</t>
  </si>
  <si>
    <t xml:space="preserve">TC-SEC-001 POST /api/v1/devices without a token -&gt; 401 and the standard error envelope</t>
  </si>
  <si>
    <t xml:space="preserve">TC-SEC-001 POST /api/v1/sync/outbox without a token -&gt; 401 and the standard error envelope</t>
  </si>
  <si>
    <t xml:space="preserve">TC-SEC-001 GET /api/v1/settings without a token -&gt; 401 and the standard error envelope</t>
  </si>
  <si>
    <t xml:space="preserve">TC-SEC-001 PUT /api/v1/settings without a token -&gt; 401 and the standard error envelope</t>
  </si>
  <si>
    <t xml:space="preserve">TC-SEC-001 GET /api/v1/account without a token -&gt; 401 and the standard error envelope</t>
  </si>
  <si>
    <t xml:space="preserve">TC-SEC-001 POST /api/v1/account/deletion without a token -&gt; 401 and the standard error envelope</t>
  </si>
  <si>
    <t xml:space="preserve">TC-SEC-001 DELETE /api/v1/account/deletion without a token -&gt; 401 and the standard error envelope</t>
  </si>
  <si>
    <t xml:space="preserve">TC-DAT-007 the schema rejects a workout with a negative duration at the database level (defence in depth)</t>
  </si>
  <si>
    <t xml:space="preserve">TC-FIT-105 accepts activity type RUN</t>
  </si>
  <si>
    <t xml:space="preserve">TC-FIT-105 accepts activity type CYCLE</t>
  </si>
  <si>
    <t xml:space="preserve">TC-FIT-105 accepts activity type SWIM</t>
  </si>
  <si>
    <t xml:space="preserve">TC-FIT-105 accepts activity type STRENGTH</t>
  </si>
  <si>
    <t xml:space="preserve">TC-FIT-105 accepts activity type YOGA</t>
  </si>
  <si>
    <t xml:space="preserve">TC-FIT-105 accepts activity type HIIT</t>
  </si>
  <si>
    <t xml:space="preserve">TC-FIT-105 accepts activity type SPORT</t>
  </si>
  <si>
    <t xml:space="preserve">TC-FIT-105 accepts activity type OTHER</t>
  </si>
  <si>
    <t xml:space="preserve">TC-FIT-106 rejects missing activity type with 422</t>
  </si>
  <si>
    <t xml:space="preserve">TC-FIT-106 rejects missing date with 422</t>
  </si>
  <si>
    <t xml:space="preserve">TC-FIT-106 rejects date in the wrong format with 422</t>
  </si>
  <si>
    <t xml:space="preserve">TC-FIT-106 rejects duration 0 with 422</t>
  </si>
  <si>
    <t xml:space="preserve">TC-FIT-106 rejects duration 1441 with 422</t>
  </si>
  <si>
    <t xml:space="preserve">TC-FIT-106 rejects fractional duration with 422</t>
  </si>
  <si>
    <t xml:space="preserve">TC-FIT-106 rejects duration as text with 422</t>
  </si>
  <si>
    <t xml:space="preserve">TC-FIT-106 rejects intensity LIGHT with 422</t>
  </si>
  <si>
    <t xml:space="preserve">TC-FIT-106 rejects steps -1 with 422</t>
  </si>
  <si>
    <t xml:space="preserve">TC-FIT-106 rejects steps 200001 with 422</t>
  </si>
  <si>
    <t xml:space="preserve">TC-FIT-106 rejects note of 501 characters with 422</t>
  </si>
  <si>
    <t xml:space="preserve">TC-FIT-106 rejects MET below 1 with 422</t>
  </si>
  <si>
    <t xml:space="preserve">TC-FIT-106 rejects MET above 23 with 422</t>
  </si>
  <si>
    <t xml:space="preserve">TC-FIT-106 rejects body mass below 20 with 422</t>
  </si>
  <si>
    <t xml:space="preserve">TC-FIT-106 rejects body mass above 635 with 422</t>
  </si>
  <si>
    <t xml:space="preserve">TC-NUT-107 rejects name of 121 characters with 422</t>
  </si>
  <si>
    <t xml:space="preserve">TC-NUT-107 rejects brand of 81 characters with 422</t>
  </si>
  <si>
    <t xml:space="preserve">TC-NUT-107 rejects kcal -1 with 422</t>
  </si>
  <si>
    <t xml:space="preserve">TC-NUT-107 rejects kcal 9001 with 422</t>
  </si>
  <si>
    <t xml:space="preserve">TC-NUT-107 rejects protein 100.1 with 422</t>
  </si>
  <si>
    <t xml:space="preserve">TC-NUT-107 rejects carbs -0.1 with 422</t>
  </si>
  <si>
    <t xml:space="preserve">TC-NUT-107 rejects fat 101 with 422</t>
  </si>
  <si>
    <t xml:space="preserve">TC-NUT-107 rejects unknown serving unit with 422</t>
  </si>
  <si>
    <t xml:space="preserve">TC-NUT-107 rejects serving grams 0.09 with 422</t>
  </si>
  <si>
    <t xml:space="preserve">TC-NUT-107 rejects serving grams 5001 with 422</t>
  </si>
  <si>
    <t xml:space="preserve">TC-NUT-107 rejects barcode of 7 digits with 422</t>
  </si>
  <si>
    <t xml:space="preserve">TC-NUT-107 rejects barcode with letters with 422</t>
  </si>
  <si>
    <t xml:space="preserve">TC-NUT-107 rejects unknown extra field with 422</t>
  </si>
  <si>
    <t xml:space="preserve">TC-NUT-107 rejects kcal as text with 422</t>
  </si>
  <si>
    <t xml:space="preserve">TC-NUT-111 logs a LUNCH meal (201)</t>
  </si>
  <si>
    <t xml:space="preserve">TC-NUT-111 logs a DINNER meal (201)</t>
  </si>
  <si>
    <t xml:space="preserve">TC-NUT-111 logs a SNACK meal (201)</t>
  </si>
  <si>
    <t xml:space="preserve">TC-NUT-112 rejects missing meal type with 422</t>
  </si>
  <si>
    <t xml:space="preserve">TC-NUT-112 rejects bad date format with 422</t>
  </si>
  <si>
    <t xml:space="preserve">TC-NUT-112 rejects no items with 422</t>
  </si>
  <si>
    <t xml:space="preserve">TC-NUT-112 rejects items not an array with 422</t>
  </si>
  <si>
    <t xml:space="preserve">TC-NUT-112 rejects item without a name with 422</t>
  </si>
  <si>
    <t xml:space="preserve">TC-NUT-112 rejects quantity 0 with 422</t>
  </si>
  <si>
    <t xml:space="preserve">TC-NUT-112 rejects negative quantity with 422</t>
  </si>
  <si>
    <t xml:space="preserve">TC-NUT-112 rejects unknown serving unit with 422</t>
  </si>
  <si>
    <t xml:space="preserve">TC-NUT-112 rejects grams 0 with 422</t>
  </si>
  <si>
    <t xml:space="preserve">TC-NUT-112 rejects negative kcal with 422</t>
  </si>
  <si>
    <t xml:space="preserve">TC-NUT-117 [DEF-013] replaying a meal with the same idempotency key returns the original result (200 + Idempotent-Replay), not 409 (BR-SYS-05)</t>
  </si>
  <si>
    <t xml:space="preserve">TC-NUT-122 water amount 5000 ml -&gt; 201</t>
  </si>
  <si>
    <t xml:space="preserve">TC-NUT-122 water amount 0 ml -&gt; 422</t>
  </si>
  <si>
    <t xml:space="preserve">TC-NUT-122 water amount 5001 ml -&gt; 422</t>
  </si>
  <si>
    <t xml:space="preserve">TC-NUT-122 water amount -100 ml -&gt; 422</t>
  </si>
  <si>
    <t xml:space="preserve">TC-PLT-106 rejects whitespace nickname with 422</t>
  </si>
  <si>
    <t xml:space="preserve">TC-PLT-106 rejects 81-character nickname with 422</t>
  </si>
  <si>
    <t xml:space="preserve">TC-PLT-106 rejects base interval 0 with 422</t>
  </si>
  <si>
    <t xml:space="preserve">TC-PLT-106 rejects base interval 366 with 422</t>
  </si>
  <si>
    <t xml:space="preserve">TC-PLT-106 rejects fractional base interval with 422</t>
  </si>
  <si>
    <t xml:space="preserve">TC-PLT-106 rejects min above max with 422</t>
  </si>
  <si>
    <t xml:space="preserve">TC-PLT-109 an invalid placement value is rejected with 422, not a server error</t>
  </si>
  <si>
    <t xml:space="preserve">TC-PLT-109 an invalid pot_material value is rejected with 422, not a server error</t>
  </si>
  <si>
    <t xml:space="preserve">TC-PLT-109 an invalid soil_type value is rejected with 422, not a server error</t>
  </si>
  <si>
    <t xml:space="preserve">TC-PLT-109 an invalid indoor_climate value is rejected with 422, not a server error</t>
  </si>
  <si>
    <t xml:space="preserve">TC-PLT-117 logs a FERTILIZE action</t>
  </si>
  <si>
    <t xml:space="preserve">TC-PLT-117 logs a PRUNE action</t>
  </si>
  <si>
    <t xml:space="preserve">TC-PLT-117 logs a REPOT action</t>
  </si>
  <si>
    <t xml:space="preserve">TC-PLT-117 logs a MIST action</t>
  </si>
  <si>
    <t xml:space="preserve">TC-PLT-117 logs a ROTATE action</t>
  </si>
  <si>
    <t xml:space="preserve">TC-PLT-117 logs a TREAT action</t>
  </si>
  <si>
    <t xml:space="preserve">TC-PLT-118 rejects a care log with missing action (422)</t>
  </si>
  <si>
    <t xml:space="preserve">TC-PLT-118 rejects a care log with missing date (422)</t>
  </si>
  <si>
    <t xml:space="preserve">TC-PLT-118 rejects a care log with wrong date format (422)</t>
  </si>
  <si>
    <t xml:space="preserve">TC-PLT-123 rejects javascript URL (422)</t>
  </si>
  <si>
    <t xml:space="preserve">TC-PLT-123 rejects data URL (422)</t>
  </si>
  <si>
    <t xml:space="preserve">TC-PLT-123 rejects not a URL (422)</t>
  </si>
  <si>
    <t xml:space="preserve">TC-PLT-123 rejects URL over 2048 characters (422)</t>
  </si>
  <si>
    <t xml:space="preserve">TC-PLT-123 rejects missing photo_url (422)</t>
  </si>
  <si>
    <t xml:space="preserve">TC-PLT-123 rejects height below 0 (422)</t>
  </si>
  <si>
    <t xml:space="preserve">TC-PLT-123 rejects height above 5000 (422)</t>
  </si>
  <si>
    <t xml:space="preserve">TC-PLT-123 rejects note over 1000 characters (422)</t>
  </si>
  <si>
    <t xml:space="preserve">TC-PLT-123 rejects bad date (422)</t>
  </si>
  <si>
    <t xml:space="preserve">TC-PLT-123 rejects unknown extra field (422)</t>
  </si>
  <si>
    <t xml:space="preserve">TC-SET-002 {"theme":"LIGHT"} is saved and read back</t>
  </si>
  <si>
    <t xml:space="preserve">TC-SET-002 {"unit_system":"IMPERIAL"} is saved and read back</t>
  </si>
  <si>
    <t xml:space="preserve">TC-SET-002 {"hemisphere":"SOUTHERN"} is saved and read back</t>
  </si>
  <si>
    <t xml:space="preserve">TC-SET-002 {"week_start_day":"SUNDAY"} is saved and read back</t>
  </si>
  <si>
    <t xml:space="preserve">TC-SET-002 {"reduce_motion":true} is saved and read back</t>
  </si>
  <si>
    <t xml:space="preserve">TC-SET-002 {"larger_text":true} is saved and read back</t>
  </si>
  <si>
    <t xml:space="preserve">TC-SET-002 {"high_contrast":true} is saved and read back</t>
  </si>
  <si>
    <t xml:space="preserve">TC-SET-002 {"analytics_opt_in":true} is saved and read back</t>
  </si>
  <si>
    <t xml:space="preserve">TC-SET-002 {"daily_notification_cap":1} is saved and read back</t>
  </si>
  <si>
    <t xml:space="preserve">TC-SET-002 {"daily_notification_cap":20} is saved and read back</t>
  </si>
  <si>
    <t xml:space="preserve">TC-SET-003 rejects unit system not in the enum with 422</t>
  </si>
  <si>
    <t xml:space="preserve">TC-SET-003 rejects hemisphere not in the enum with 422</t>
  </si>
  <si>
    <t xml:space="preserve">TC-SET-003 rejects boolean sent as text with 422</t>
  </si>
  <si>
    <t xml:space="preserve">TC-SET-003 rejects notification cap 0 with 422</t>
  </si>
  <si>
    <t xml:space="preserve">TC-SET-003 rejects notification cap 21 with 422</t>
  </si>
  <si>
    <t xml:space="preserve">TC-SET-003 rejects notification cap fractional with 422</t>
  </si>
  <si>
    <t xml:space="preserve">TC-SET-003 rejects quiet start 24:00 with 422</t>
  </si>
  <si>
    <t xml:space="preserve">TC-SET-003 rejects quiet start 7:00 (no leading zero) with 422</t>
  </si>
  <si>
    <t xml:space="preserve">TC-SET-003 rejects quiet start 12:60 with 422</t>
  </si>
  <si>
    <t xml:space="preserve">TC-SET-003 rejects timezone over 64 characters with 422</t>
  </si>
  <si>
    <t xml:space="preserve">TC-SET-003 rejects locale over 20 characters with 422</t>
  </si>
  <si>
    <t xml:space="preserve">TC-SYS-109 events missing</t>
  </si>
  <si>
    <t xml:space="preserve">TC-SYS-109 events not an array</t>
  </si>
  <si>
    <t xml:space="preserve">TC-SYS-109 51 events</t>
  </si>
  <si>
    <t xml:space="preserve">TC-SYS-109 unknown entity type</t>
  </si>
  <si>
    <t xml:space="preserve">TC-SYS-109 key not a UUID</t>
  </si>
  <si>
    <t xml:space="preserve">TC-SYS-109 key a UUID v1, not v4</t>
  </si>
  <si>
    <t xml:space="preserve">TC-SYS-109 unknown key on the event</t>
  </si>
  <si>
    <t xml:space="preserve">TC-SYS-109 unknown key on the body</t>
  </si>
  <si>
    <t xml:space="preserve">TC-NOT-107 crossing window 22:00-07:00 at 22:00 -&gt; quiet=true</t>
  </si>
  <si>
    <t xml:space="preserve">TC-NOT-107 crossing window 22:00-07:00 at 22:01 -&gt; quiet=true</t>
  </si>
  <si>
    <t xml:space="preserve">TC-NOT-107 crossing window 22:00-07:00 at 23:59 -&gt; quiet=true</t>
  </si>
  <si>
    <t xml:space="preserve">TC-NOT-107 crossing window 22:00-07:00 at 00:00 -&gt; quiet=true</t>
  </si>
  <si>
    <t xml:space="preserve">TC-NOT-107 crossing window 22:00-07:00 at 06:59 -&gt; quiet=true</t>
  </si>
  <si>
    <t xml:space="preserve">TC-NOT-107 crossing window 22:00-07:00 at 07:00 -&gt; quiet=false</t>
  </si>
  <si>
    <t xml:space="preserve">TC-NOT-107 crossing window 22:00-07:00 at 07:01 -&gt; quiet=false</t>
  </si>
  <si>
    <t xml:space="preserve">TC-NOT-107 crossing window 22:00-07:00 at 12:00 -&gt; quiet=false</t>
  </si>
  <si>
    <t xml:space="preserve">TC-NOT-108 non-crossing window 13:00-15:00 at 13:00 -&gt; quiet=true</t>
  </si>
  <si>
    <t xml:space="preserve">TC-NOT-108 non-crossing window 13:00-15:00 at 14:59 -&gt; quiet=true</t>
  </si>
  <si>
    <t xml:space="preserve">TC-NOT-108 non-crossing window 13:00-15:00 at 15:00 -&gt; quiet=false</t>
  </si>
  <si>
    <t xml:space="preserve">TC-NOT-112 accepts the time spellings 07:00:00</t>
  </si>
  <si>
    <t xml:space="preserve">TC-NOT-112 accepts the time spellings 07:00:00.000</t>
  </si>
  <si>
    <t xml:space="preserve">TC-NOT-113 an unparseable bound "abc" means "no window", never "always quiet"</t>
  </si>
  <si>
    <t xml:space="preserve">TC-NOT-113 an unparseable bound "" means "no window", never "always quiet"</t>
  </si>
  <si>
    <t xml:space="preserve">TC-NOT-113 an unparseable bound "25:00" means "no window", never "always quiet"</t>
  </si>
  <si>
    <t xml:space="preserve">TC-NOT-116 an invalid cap -3 falls back to the default rather than muting the user</t>
  </si>
  <si>
    <t xml:space="preserve">TC-NOT-116 an invalid cap NaN falls back to the default rather than muting the user</t>
  </si>
  <si>
    <t xml:space="preserve">RUN-01B</t>
  </si>
  <si>
    <t xml:space="preserve">2026-10-18</t>
  </si>
  <si>
    <t xml:space="preserve">Node 22 / PostgreSQL 16 / Vitest 4.1.10 (sandbox, repo snapshot 11 Oct 2026)</t>
  </si>
  <si>
    <t xml:space="preserve">RUN-02</t>
  </si>
  <si>
    <t xml:space="preserve">Windows / Node 24.21.0 / PostgreSQL 16 / Vitest 4.x / repo snapshot 2026-10-11 (PlantPal-Plus-main_1.zip); API run serially (--no-file-parallelism)</t>
  </si>
  <si>
    <t xml:space="preserve">Severity</t>
  </si>
  <si>
    <t xml:space="preserve">Type</t>
  </si>
  <si>
    <t xml:space="preserve">Location</t>
  </si>
  <si>
    <t xml:space="preserve">Test ID(s)</t>
  </si>
  <si>
    <t xml:space="preserve">Description (expected vs actual)</t>
  </si>
  <si>
    <t xml:space="preserve">Status</t>
  </si>
  <si>
    <t xml:space="preserve">Found</t>
  </si>
  <si>
    <t xml:space="preserve">Found in run</t>
  </si>
  <si>
    <t xml:space="preserve">Fixed in commit / retest</t>
  </si>
  <si>
    <t xml:space="preserve">roundHalfUp returns -0 for values in (-0.5, 0)</t>
  </si>
  <si>
    <t xml:space="preserve">S4</t>
  </si>
  <si>
    <t xml:space="preserve">Observation</t>
  </si>
  <si>
    <t xml:space="preserve">shared/domain/rounding.ts</t>
  </si>
  <si>
    <t xml:space="preserve">Math.sign(-0.4) * Math.floor(0.9) = -0. Harmless in JSON, but Object.is(-0, 0) is false.</t>
  </si>
  <si>
    <t xml:space="preserve">New</t>
  </si>
  <si>
    <t xml:space="preserve">RUN-02 (2026-10-18, local): reproduced, test still fails as designed (TC-SYS-002b). No fix yet.</t>
  </si>
  <si>
    <t xml:space="preserve">SRS inconsistent on minimum age: BR-NUT-11 says 13..120, BR-ACC-13 closed it at 16</t>
  </si>
  <si>
    <t xml:space="preserve">Spec defect</t>
  </si>
  <si>
    <t xml:space="preserve">accounts.md vs nutrition.md BR-NUT-11</t>
  </si>
  <si>
    <t xml:space="preserve">Code enforces 16. Users under 16 cannot register, so unreachable, but the document is stale.</t>
  </si>
  <si>
    <t xml:space="preserve">RUN-02 (2026-10-18, local): reproduced, test still fails as designed (TC-NUT-009). No fix yet.</t>
  </si>
  <si>
    <t xml:space="preserve">totalVolumeKg does no validation; setVolumeKg does</t>
  </si>
  <si>
    <t xml:space="preserve">S3</t>
  </si>
  <si>
    <t xml:space="preserve">Code defect</t>
  </si>
  <si>
    <t xml:space="preserve">shared/domain/fitness.ts</t>
  </si>
  <si>
    <t xml:space="preserve">[{reps:-5,w:100},{reps:10,w:100}] totals 500; fractional reps accepted (2.5 x 10 = 25). setVolumeKg throws on the same input.</t>
  </si>
  <si>
    <t xml:space="preserve">RUN-02 (2026-10-18, local): reproduced, test still fails as designed (TC-FIT-021). No fix yet.</t>
  </si>
  <si>
    <t xml:space="preserve">Impossible calendar dates accepted by streak logic</t>
  </si>
  <si>
    <t xml:space="preserve">shared/domain/streak.ts</t>
  </si>
  <si>
    <t xml:space="preserve">2026-13-45 gives NaN difference and silently resets the streak to 1; 2026-02-30 is read as 2 March. Regex checks shape only.</t>
  </si>
  <si>
    <t xml:space="preserve">RUN-02 (2026-10-18, local): reproduced, test still fails as designed (TC-GAM-017). No fix yet.</t>
  </si>
  <si>
    <t xml:space="preserve">Password policy BR-ACC-01 clauses 3, 4, 5 not enforced</t>
  </si>
  <si>
    <t xml:space="preserve">S2</t>
  </si>
  <si>
    <t xml:space="preserve">Code defect (security)</t>
  </si>
  <si>
    <t xml:space="preserve">api/modules/auth/password.ts</t>
  </si>
  <si>
    <t xml:space="preserve">TC-ACC-006, TC-ACC-007, TC-ACC-008, TC-ACC-235</t>
  </si>
  <si>
    <t xml:space="preserve">Only length 12..128 is checked, on the server and on the register screen (TC-ACC-235). abcdefghijkl, Aa1!aaaaaXyz and 14 spaces register successfully (202). SRS requires 3 of 4 character classes, no whitespace-only, no run of 5+ identical characters.</t>
  </si>
  <si>
    <t xml:space="preserve">RUN-02 (2026-10-18, local): reproduced, test still fails as designed (TC-ACC-235, 006-008). No fix yet.</t>
  </si>
  <si>
    <t xml:space="preserve">Pot diameter 0 or negative accepted on plant create</t>
  </si>
  <si>
    <t xml:space="preserve">api/modules/plants/plantsController.ts</t>
  </si>
  <si>
    <t xml:space="preserve">POST /plants with pot_diameter_cm 0 returns 201. potDiameterFactor throws RangeError for diameter &lt;= 0, so scheduling can fail later (not yet verified end to end).</t>
  </si>
  <si>
    <t xml:space="preserve">RUN-02 (2026-10-18, local): reproduced, test still fails as designed (TC-PLT-110). No fix yet.</t>
  </si>
  <si>
    <t xml:space="preserve">Daily growth-entry limit (5 per plant per local date) not enforced</t>
  </si>
  <si>
    <t xml:space="preserve">api/modules/plants/plantsRepo.ts</t>
  </si>
  <si>
    <t xml:space="preserve">BR-PLT-38 / E-40: sixth same-day entry must be rejected PLT_GROWTH_DAILY_LIMIT. Six same-day entries all return 201. Only the 40-per-plant cap exists.</t>
  </si>
  <si>
    <t xml:space="preserve">RUN-02 (2026-10-18, local): reproduced, test still fails as designed (TC-PLT-125b). No fix yet.</t>
  </si>
  <si>
    <t xml:space="preserve">Plant schedule not computed at creation or recomputed on edit</t>
  </si>
  <si>
    <t xml:space="preserve">Code defect (core feature)</t>
  </si>
  <si>
    <t xml:space="preserve">BR-PLT-10 T1 and T4. A new plant returns effective_interval_days, next_water_due_at and watering_factor_snapshot all null; editing light_exposure leaves them null. The schedule appears only after the first watering.</t>
  </si>
  <si>
    <t xml:space="preserve">RUN-02 (2026-10-18, local): reproduced, test still fails as designed (TC-PLT-115, 115b). No fix yet.</t>
  </si>
  <si>
    <t xml:space="preserve">Malformed or impossible calendar dates not rejected with 422</t>
  </si>
  <si>
    <t xml:space="preserve">api: plants care, fitness, nutrition, dashboard</t>
  </si>
  <si>
    <t xml:space="preserve">TC-PLT-118b, TC-FIT-111, TC-NUT-115, TC-DSH-004</t>
  </si>
  <si>
    <t xml:space="preserve">2026-13-45: care log returns 500 INTERNAL_ERROR; workout and meal return 201 (DB check is a regex only); dashboard date=banana returns 200.</t>
  </si>
  <si>
    <t xml:space="preserve">RUN-02 (2026-10-18, local): reproduced, test still fails as designed (TC-FIT-111, TC-NUT-115, TC-PLT-118b, TC-DSH-004). No fix yet.</t>
  </si>
  <si>
    <t xml:space="preserve">Client-supplied calories_burned overrides server computation</t>
  </si>
  <si>
    <t xml:space="preserve">api/modules/fitness/fitnessController.ts</t>
  </si>
  <si>
    <t xml:space="preserve">API spec section 3.4 says calories are recomputed server-side. Sending calories_burned 99999 stores 99999.</t>
  </si>
  <si>
    <t xml:space="preserve">RUN-02 (2026-10-18, local): reproduced, test still fails as designed (TC-FIT-108). No fix yet.</t>
  </si>
  <si>
    <t xml:space="preserve">Negative or fractional reps, negative or non-numeric weight return 500</t>
  </si>
  <si>
    <t xml:space="preserve">api/http/errorHandler.ts (root cause) and fitnessController.ts</t>
  </si>
  <si>
    <t xml:space="preserve">TC-FIT-109, TC-FIT-110, TC-SYS-514</t>
  </si>
  <si>
    <t xml:space="preserve">setVolumeKg throws RangeError. errorHandler maps any error that is not AppError, ZodError, SyntaxError or a known SQLSTATE to INTERNAL_ERROR, so the client gets 500 instead of 422 VALIDATION_FAILED. TC-SYS-514 proves it at handler level.</t>
  </si>
  <si>
    <t xml:space="preserve">RUN-02 (2026-10-18, local): reproduced, test still fails as designed (TC-SYS-514, TC-FIT-109, 110). No fix yet.</t>
  </si>
  <si>
    <t xml:space="preserve">DEF-012</t>
  </si>
  <si>
    <t xml:space="preserve">WITHDRAWN</t>
  </si>
  <si>
    <t xml:space="preserve">-</t>
  </si>
  <si>
    <t xml:space="preserve">Withdrawn</t>
  </si>
  <si>
    <t xml:space="preserve">Test passed: negative macro grams are rejected (database constraint maps to 422). Number kept so IDs stay stable.</t>
  </si>
  <si>
    <t xml:space="preserve">Online idempotent replay returns 409 instead of 200 with Idempotent-Replay</t>
  </si>
  <si>
    <t xml:space="preserve">api/modules/nutrition (meals, water)</t>
  </si>
  <si>
    <t xml:space="preserve">TC-NUT-117, TC-NUT-117b</t>
  </si>
  <si>
    <t xml:space="preserve">BR-SYS-05: a matching replay returns 200 with Idempotent-Replay: true. POST /nutrition/meals and /water return 409 CONFLICT. A client retrying after a lost response sees an error although the data was saved once.</t>
  </si>
  <si>
    <t xml:space="preserve">RUN-02 (2026-10-18, local): reproduced, test still fails as designed (TC-NUT-117, 117b). No fix yet.</t>
  </si>
  <si>
    <t xml:space="preserve">Sync WORKOUT body mass limit 400 kg vs online and SRS limit 635 kg</t>
  </si>
  <si>
    <t xml:space="preserve">api/modules/sync/syncController.ts</t>
  </si>
  <si>
    <t xml:space="preserve">BR-ACC-14 allows 20..635. The same workout is accepted online and fails VALIDATION_FAILED when sent from the offline queue.</t>
  </si>
  <si>
    <t xml:space="preserve">RUN-02 (2026-10-18, local): reproduced, test still fails as designed (TC-SYS-114). No fix yet.</t>
  </si>
  <si>
    <t xml:space="preserve">Settings accept an invalid IANA timezone</t>
  </si>
  <si>
    <t xml:space="preserve">api/modules/settings/settingsController.ts</t>
  </si>
  <si>
    <t xml:space="preserve">PUT /settings timezone Mars/Olympus_Mons returns 200. Only length is checked. Later date calculations may fail.</t>
  </si>
  <si>
    <t xml:space="preserve">RUN-02 (2026-10-18, local): reproduced, test still fails as designed (TC-SET-008). No fix yet.</t>
  </si>
  <si>
    <t xml:space="preserve">Request body over 1 MB returns 500 instead of 413</t>
  </si>
  <si>
    <t xml:space="preserve">api/http/errorHandler.ts</t>
  </si>
  <si>
    <t xml:space="preserve">TC-SYS-206, TC-SYS-512, TC-SYS-513</t>
  </si>
  <si>
    <t xml:space="preserve">The registry defines PAYLOAD_TOO_LARGE (413) and UNSUPPORTED_MEDIA_TYPE (415) but the handler never maps body-parser errors to them: type entity.too.large and charset.unsupported fall through to INTERNAL_ERROR.</t>
  </si>
  <si>
    <t xml:space="preserve">RUN-02 (2026-10-18, local): reproduced, test still fails as designed (TC-SYS-512, 513, 206). No fix yet.</t>
  </si>
  <si>
    <t xml:space="preserve">Care history of another user's or a missing plant returns 200 [] not 404</t>
  </si>
  <si>
    <t xml:space="preserve">No data leaks, but inconsistent with the growth endpoints, which return 404.</t>
  </si>
  <si>
    <t xml:space="preserve">RUN-02 (2026-10-18, local): reproduced, test still fails as designed (TC-SEC-008b). No fix yet.</t>
  </si>
  <si>
    <t xml:space="preserve">Growth photos are links, not uploads</t>
  </si>
  <si>
    <t xml:space="preserve">Known gap (API spec section 4)</t>
  </si>
  <si>
    <t xml:space="preserve">TC-SYS-601, TC-SYS-602, TC-SYS-603</t>
  </si>
  <si>
    <t xml:space="preserve">No object storage or upload endpoint. RUN-01B: POST /api/v1/media/uploads and POST /api/v1/media/{id}/finalize (SRS FR-SYS-11) return 404. FR-SYS-10, 12, 14 also have no code.</t>
  </si>
  <si>
    <t xml:space="preserve">RUN-02 (2026-10-18, local): reproduced, test still fails as designed (TC-SYS-601 to 603). No fix yet.</t>
  </si>
  <si>
    <t xml:space="preserve">Account erasure sends no email and clears no object storage</t>
  </si>
  <si>
    <t xml:space="preserve">api/modules/account</t>
  </si>
  <si>
    <t xml:space="preserve">TC-ACC-309 (proves the missing email); TC-ACC-301..308 pass</t>
  </si>
  <si>
    <t xml:space="preserve">Data erasure itself works (all tables, child rows, audit anonymised, login refused). No email notification is sent and storage is not cleared.</t>
  </si>
  <si>
    <t xml:space="preserve">RUN-02 (2026-10-18, local): reproduced, test still fails as designed (TC-ACC-309). No fix yet.</t>
  </si>
  <si>
    <t xml:space="preserve">Reminder time parser reads a minute value of 60 or more as the next hour</t>
  </si>
  <si>
    <t xml:space="preserve">api/modules/reminders/reminderEngine.ts</t>
  </si>
  <si>
    <t xml:space="preserve">wallClockMinutes("12:60") returns 780 (13:00). A PostgreSQL time column cannot hold it, so unreachable today, but the parser accepts it.</t>
  </si>
  <si>
    <t xml:space="preserve">RUN-02 (2026-10-18, local): reproduced, test still fails as designed (TC-NOT-113b). No fix yet.</t>
  </si>
  <si>
    <t xml:space="preserve">DEF-022</t>
  </si>
  <si>
    <t xml:space="preserve">npm audit reports 2 critical and 23 high vulnerabilities in production dependencies</t>
  </si>
  <si>
    <t xml:space="preserve">Supply chain</t>
  </si>
  <si>
    <t xml:space="preserve">03_implementation (root and workspaces)</t>
  </si>
  <si>
    <t xml:space="preserve">security/npm-audit-RUN01.json</t>
  </si>
  <si>
    <t xml:space="preserve">Includes proxy-addr and nanoid and compression (API side) and the Expo / React Native toolchain (mobile). NFR-LEGL-05 requires a clean audit at high severity. Triage each: some may be dev-time only or false positives. TRIAGE (npm audit --omit=dev, 2 critical 23 high): 1 finding is on the API runtime path (proxy-addr via express 4.22.2; app sets trust proxy 1, so IP-spoofing can affect IP-based rate limiting; fix available without a major bump). The other 24 critical/high findings are all pulled in through mobile (expo and react-native toolchain: metro, expo CLI, shell-quote, compression, nanoid etc.), none through api or web. Probably build/dev-time, not shipped in the app or server, but confirm. Ignore npm fix suggestion expo@44.0.6: it is a downgrade artefact. Details: security/NPM_AUDIT_TRIAGE.md</t>
  </si>
  <si>
    <t xml:space="preserve">Queued write naming an erased account returns 401 instead of 410</t>
  </si>
  <si>
    <t xml:space="preserve">api/modules/sync</t>
  </si>
  <si>
    <t xml:space="preserve">TC-ACC-401, TC-ACC-402, TC-ACC-403</t>
  </si>
  <si>
    <t xml:space="preserve">Specified response is 410. RUN-01B: actual is HTTP 422 VALIDATION_FAILED (details field user_id, issue unknown_reference, sync_events foreign key), not 401. Leaks a schema field and gives the client a non-terminal code, so it will not purge outbox and tokens (accounts.md 640). Suggest S3.</t>
  </si>
  <si>
    <t xml:space="preserve">RUN-02 (2026-10-18, local): reproduced, test still fails as designed (TC-ACC-401 to 403). No fix yet.</t>
  </si>
  <si>
    <t xml:space="preserve">DEF-023</t>
  </si>
  <si>
    <t xml:space="preserve">No personal record created after a strength workout</t>
  </si>
  <si>
    <t xml:space="preserve">MT-UAT-004</t>
  </si>
  <si>
    <t xml:space="preserve">Expected: Volume 1500 kg; estimated 1RM 116.7 kg; a personal record is created. Actual: Volume (1500 kg) and estimated 1RM (116.7 kg) are computed correctly server-side (fitnessController.ts l.141-149; shared fitness.ts l.46-49). No personal record is created: nothing inserts into personal_records, and getPersonalRecords (fitnessRepo.ts l.272-285) only reads it, so the PR list stays empty. Cause found by code review; the UAT failure was reported by the tester.</t>
  </si>
  <si>
    <t xml:space="preserve">2026-10-19</t>
  </si>
  <si>
    <t xml:space="preserve">Manual</t>
  </si>
  <si>
    <t xml:space="preserve">DEF-024</t>
  </si>
  <si>
    <t xml:space="preserve">No language placeholder or i18n readiness (FR-SET-25)</t>
  </si>
  <si>
    <t xml:space="preserve">MT-INS-002</t>
  </si>
  <si>
    <t xml:space="preserve">Expected: The artefact conforms to FR-SET-25. Actual: No "English (en)" disabled language selector, no "More languages are planned" caption and no locale catalogue found in web/src or mobile/src (searched for all three).</t>
  </si>
  <si>
    <t xml:space="preserve">DEF-025</t>
  </si>
  <si>
    <t xml:space="preserve">Activity-type catalogue exists only as a CHECK constraint, not a seeded catalogue (FR-FIT-01)</t>
  </si>
  <si>
    <t xml:space="preserve">MT-INS-003</t>
  </si>
  <si>
    <t xml:space="preserve">Expected: The artefact conforms to FR-FIT-01. Actual: The nine activity codes exist only as a CHECK constraint (003-fitness-schema.sql l.20, l.46). No activity-type catalogue table with three MET values, error-band percentage and distance flag per type.</t>
  </si>
  <si>
    <t xml:space="preserve">DEF-026</t>
  </si>
  <si>
    <t xml:space="preserve">Strength-exercise catalogue below the SRS minimum (20 seeded) (FR-FIT-11)</t>
  </si>
  <si>
    <t xml:space="preserve">MT-INS-004</t>
  </si>
  <si>
    <t xml:space="preserve">Expected: The artefact conforms to FR-FIT-11. Actual: db/seeds/002-exercises.sql seeds 20 exercises (SRS requires at least 40); only 10 are strength exercises. Confirmed on a freshly seeded database: SELECT count(*) FROM exercises = 20.</t>
  </si>
  <si>
    <t xml:space="preserve">DEF-028</t>
  </si>
  <si>
    <t xml:space="preserve">Achievement catalogue seeds 16, SRS requires 46 (FR-GAM-11)</t>
  </si>
  <si>
    <t xml:space="preserve">MT-INS-007</t>
  </si>
  <si>
    <t xml:space="preserve">Expected: The artefact conforms to FR-GAM-11. Actual: db/seeds/003-achievements.sql seeds 16 achievements (SRS requires 46). Categories used are PLANT_CARE, FITNESS, NUTRITION, SHARED, not the six in the SRS. Points are 10/25/50(one Silver)/100/500, not 10/25/50. No secret flag column in the insert. Confirmed on a freshly seeded database: SELECT count(*) FROM achievements = 16.</t>
  </si>
  <si>
    <t xml:space="preserve">DEF-029</t>
  </si>
  <si>
    <t xml:space="preserve">Food catalogue below the SRS minimum (180 seeded) (FR-NUT-07)</t>
  </si>
  <si>
    <t xml:space="preserve">MT-INS-008</t>
  </si>
  <si>
    <t xml:space="preserve">Expected: The artefact conforms to FR-NUT-07. Actual: db/seeds/005-foods-india.sql seeds 180 foods (SRS requires at least 300). Macros are non-null; no duplicate names found. Confirmed on a freshly seeded database: SELECT count(*) FROM foods = 180.</t>
  </si>
  <si>
    <t xml:space="preserve">DEF-030</t>
  </si>
  <si>
    <t xml:space="preserve">API surface conventions and request identity not fully met (FR-SYS-18)</t>
  </si>
  <si>
    <t xml:space="preserve">MT-INS-010</t>
  </si>
  <si>
    <t xml:space="preserve">Expected: The artefact conforms to FR-SYS-18. Actual: Routes are mounted under /api/v1 (app.ts l.92-94) and X-Request-Id is echoed (requestId.ts). But SRS requires ^[A-Za-z0-9-]{8,64}$ while the code accepts . and _ and has no 8-character minimum (SAFE_ID, MAX_INBOUND_LENGTH). Request id was not found in logging.ts log records. Live confirmation: X-Request-Id "short" (5 chars) and "abc.def_ghi" were both echoed back (SRS rejects both). Auth endpoints are mounted at /api/auth, not /api/v1 (app.ts l.90). GET /api/v1/plants/ (trailing slash) returns 200; SRS requires 404.</t>
  </si>
  <si>
    <t xml:space="preserve">DEF-031</t>
  </si>
  <si>
    <t xml:space="preserve">No sync_seq or tz_at_capture on any table (FR-SYS-22)</t>
  </si>
  <si>
    <t xml:space="preserve">MT-INS-011</t>
  </si>
  <si>
    <t xml:space="preserve">Expected: The artefact conforms to FR-SYS-22. Actual: Migrations 001-006: no table has sync_seq or tz_at_capture; events use local_date_str instead of local_date; deleted_at exists only on plants, growth_log_entries, workouts, foods, meals. Positive: all primary keys are UUID and timestamps are timestamptz.</t>
  </si>
  <si>
    <t xml:space="preserve">DEF-032</t>
  </si>
  <si>
    <t xml:space="preserve">No privacy notice or terms link on the registration page</t>
  </si>
  <si>
    <t xml:space="preserve">MT-CMP-001</t>
  </si>
  <si>
    <t xml:space="preserve">Expected: Privacy notice and terms are linked and readable before submitting. Actual: Code review only. RegisterPage.tsx has no privacy notice or terms link; "Privacy" appears only in SettingsPage.tsx l.775.</t>
  </si>
  <si>
    <t xml:space="preserve">DEF-033</t>
  </si>
  <si>
    <t xml:space="preserve">consent_records empty (0 rows) after registering 5 accounts</t>
  </si>
  <si>
    <t xml:space="preserve">MT-CMP-002</t>
  </si>
  <si>
    <t xml:space="preserve">Expected: Consent versions and timestamps stored (note that the API currently takes only confirmed_age: compare with the SRS). Actual: After registering 5 accounts, SELECT count(*) FROM consent_records = 0. The register API accepts only confirmed_age; no consent versions or timestamps are stored.</t>
  </si>
  <si>
    <t xml:space="preserve">DEF-034</t>
  </si>
  <si>
    <t xml:space="preserve">No data export route (account/export, account/data-export, sync/export all missing)</t>
  </si>
  <si>
    <t xml:space="preserve">MT-CMP-004</t>
  </si>
  <si>
    <t xml:space="preserve">Expected: Download contains every category of the user's data and no other user's. Actual: Requested account/export, account/data-export, sync/export and account/export-request with a valid token: all 404. No data-export feature exists in the API.</t>
  </si>
  <si>
    <t xml:space="preserve">DEF-035</t>
  </si>
  <si>
    <t xml:space="preserve">Health disclaimer absent on fitness and nutrition screens</t>
  </si>
  <si>
    <t xml:space="preserve">MT-CMP-007</t>
  </si>
  <si>
    <t xml:space="preserve">Expected: Disclaimer that values are estimates and not medical advice is visible near each. Actual: Code review only. The "not medical advice" text exists on LandingPage.tsx and AuthLayout.tsx only; not found on the fitness or nutrition screens.</t>
  </si>
  <si>
    <t xml:space="preserve">DEF-036</t>
  </si>
  <si>
    <t xml:space="preserve">No in-app licences page matching THIRD_PARTY_LICENSES.md</t>
  </si>
  <si>
    <t xml:space="preserve">MT-CMP-010</t>
  </si>
  <si>
    <t xml:space="preserve">Expected: Page exists and matches the inventory. Actual: Code review only. 05_documentation/THIRD_PARTY_LICENSES.md exists, but there is no in-app licences page to compare against it.</t>
  </si>
  <si>
    <t xml:space="preserve">DEF-037</t>
  </si>
  <si>
    <t xml:space="preserve">Previous (already rotated) refresh token still accepted; reuse after rotation not rejected</t>
  </si>
  <si>
    <t xml:space="preserve">MT-SEC-002</t>
  </si>
  <si>
    <t xml:space="preserve">Expected: 401. Actual: Logged in, refreshed (200), logged out (200), then reused the post-logout refresh token: 401. OBSERVATION (not part of this row): re-sending the already-rotated previous refresh token also returned 200, so refresh-token reuse after rotation was not rejected.</t>
  </si>
  <si>
    <t xml:space="preserve">DEF-038</t>
  </si>
  <si>
    <t xml:space="preserve">Record and resume onboarding progress (FR-ACC-17) not as specified</t>
  </si>
  <si>
    <t xml:space="preserve">Requirement not met</t>
  </si>
  <si>
    <t xml:space="preserve">MT-DEM-001</t>
  </si>
  <si>
    <t xml:space="preserve">Expected: Observed behaviour satisfies every criterion in FR-ACC-17. Actual: Registered, moved from step 1 to step 2 of onboarding, reloaded the page: wizard restarted at Step 1 of 2. Database check: profiles.onboarding_last_step and onboarding_completed_at are NULL after step 1. No API route reads or writes onboarding progress (see comment at top of OnboardingPage.tsx).</t>
  </si>
  <si>
    <t xml:space="preserve">2026-10-21</t>
  </si>
  <si>
    <t xml:space="preserve">DEF-039</t>
  </si>
  <si>
    <t xml:space="preserve">Quick-add action set (FR-DSH-10) not as specified</t>
  </si>
  <si>
    <t xml:space="preserve">MT-DEM-003</t>
  </si>
  <si>
    <t xml:space="preserve">Expected: Observed behaviour satisfies every criterion in FR-DSH-10. Actual: With all three modules enabled the dashboard shows no quick-add control set. The only logging controls are a single 'Log meal' row in the Today list and 'Open plants / fitness / nutrition' links. BR-DSH-09 requires up to 5 actions (Log water +1 glass, Log a meal, Log a workout, Water a plant, Log steps).</t>
  </si>
  <si>
    <t xml:space="preserve">DEF-040</t>
  </si>
  <si>
    <t xml:space="preserve">Today shortcut (FR-DSH-12) not as specified</t>
  </si>
  <si>
    <t xml:space="preserve">MT-DEM-004</t>
  </si>
  <si>
    <t xml:space="preserve">Expected: Observed behaviour satisfies every criterion in FR-DSH-12. Actual: The dashboard has no date navigation and no Today control (DashboardPage.tsx has no date state or navigation; none appears in the UI). The API accepts ?date= but the user cannot browse other days, so the control that returns to today and hides on today cannot be shown. (Nutrition has previous/next day arrows; the dashboard does not.)</t>
  </si>
  <si>
    <t xml:space="preserve">DEF-041</t>
  </si>
  <si>
    <t xml:space="preserve">Empty and all-caught-up states (FR-DSH-16) not as specified</t>
  </si>
  <si>
    <t xml:space="preserve">MT-DEM-005</t>
  </si>
  <si>
    <t xml:space="preserve">Expected: Observed behaviour satisfies every criterion in FR-DSH-16. Actual: Fresh account (no plants, workouts or meals): dashboard shows module cards and a generic 'Log a meal' row only. The BR-DSH-10 empty states ('No plants yet / Add your first plant and we will work out when to water it / Add a plant', 'No workouts logged', 'No meals logged' with time-of-day call to action) do not appear on the dashboard. (The module pages have their own empty states.)</t>
  </si>
  <si>
    <t xml:space="preserve">DEF-043</t>
  </si>
  <si>
    <t xml:space="preserve">Responsive layout (FR-DSH-22) not as specified</t>
  </si>
  <si>
    <t xml:space="preserve">MT-DEM-007</t>
  </si>
  <si>
    <t xml:space="preserve">Expected: Observed behaviour satisfies every criterion in FR-DSH-22. Actual: Measured by resizing the browser. 1280 px and 1600 px: three columns (rings card, stat cards, modules in three). 1100 px and 1000 px: stacked layout. 700 px (below 768): the stat cards and module cards show two columns, but the requirement is one column below 768 px (the cards use Tailwind sm:grid-cols-2, which starts at 640 px). 600 px: one column.</t>
  </si>
  <si>
    <t xml:space="preserve">DEF-044</t>
  </si>
  <si>
    <t xml:space="preserve">Settings hub information architecture (FR-SET-01) not as specified</t>
  </si>
  <si>
    <t xml:space="preserve">MT-DEM-008</t>
  </si>
  <si>
    <t xml:space="preserve">Expected: Observed behaviour satisfies every criterion in FR-SET-01. Actual: Settings is a single scrolling page with sections Account, Modules, Plant care, Notifications, Appearance, Accessibility, Privacy and Danger zone. BR-SET-01 requires nine sections in order: Profile, Preferences, Modules, Notifications, Integrations, Accessibility, Your data, Security, About and legal. Missing: Profile, Integrations, Your data, Security, About and legal. It is reachable in one tap from the dashboard.</t>
  </si>
  <si>
    <t xml:space="preserve">DEF-045</t>
  </si>
  <si>
    <t xml:space="preserve">Profile entry point (FR-SET-02) not as specified</t>
  </si>
  <si>
    <t xml:space="preserve">MT-DEM-009</t>
  </si>
  <si>
    <t xml:space="preserve">Expected: Observed behaviour satisfies every criterion in FR-SET-02. Actual: Settings has no profile entry point. The Account section shows e-mail and status, and the only related control, 'Set up preferences', links to /onboarding (SettingsPage.tsx l.490), which edits habits, units, hemisphere and week start, not the profile.</t>
  </si>
  <si>
    <t xml:space="preserve">DEF-048</t>
  </si>
  <si>
    <t xml:space="preserve">Estimate presentation and disclaimer (FR-FIT-06) not as specified</t>
  </si>
  <si>
    <t xml:space="preserve">MT-DEM-013</t>
  </si>
  <si>
    <t xml:space="preserve">Expected: Observed behaviour satisfies every criterion in FR-FIT-06. Actual: Logged a Run, 45 min, moderate. The energy is shown as '~515 kcal' (workout log) and '515 kcal estimated' (summary). No plus-or-minus error band, no low-to-high range and no non-medical-estimate disclaimer is shown anywhere on the Fitness page.</t>
  </si>
  <si>
    <t xml:space="preserve">DEF-049</t>
  </si>
  <si>
    <t xml:space="preserve">Unlock experience (FR-GAM-16) not as specified</t>
  </si>
  <si>
    <t xml:space="preserve">MT-DEM-015</t>
  </si>
  <si>
    <t xml:space="preserve">Expected: Observed behaviour satisfies every criterion in FR-GAM-16. Actual: Logged the first workout. The only feedback was a generic 'Logged Run workout' toast; no unlock celebration was shown. The unlock appears only later on the Achievements page ('Unlocked Oct 21, 2026'). GET /api/v1/notifications returns 404 and there is no notification centre in the navigation, so no permanent notification-centre entry exists. The push request was not observed.</t>
  </si>
  <si>
    <t xml:space="preserve">DEF-050</t>
  </si>
  <si>
    <t xml:space="preserve">Trophy gallery (FR-GAM-17) not as specified</t>
  </si>
  <si>
    <t xml:space="preserve">MT-DEM-016</t>
  </si>
  <si>
    <t xml:space="preserve">Expected: Observed behaviour satisfies every criterion in FR-GAM-17. Actual: Achievements page lists the 16 seeded badges (see DEF-028) with only two states: LOCKED, or 'Unlocked &lt;date&gt;'. No IN_PROGRESS state and no progress percentage is shown for locked badges (API returns progress_pct only for unlocked rows, value 100).</t>
  </si>
  <si>
    <t xml:space="preserve">DEF-051</t>
  </si>
  <si>
    <t xml:space="preserve">Deep links (FR-NOT-19) not as specified</t>
  </si>
  <si>
    <t xml:space="preserve">MT-DEM-017</t>
  </si>
  <si>
    <t xml:space="preserve">Expected: Observed behaviour satisfies every criterion in FR-NOT-19. Actual: The push message built by the reminder service carries only data: { reminder_id } (reminderService.ts l.50). No deep link is included. A search of api/src and mobile/src finds no deep_link, deeplink or Linking route table. Code review plus source evidence; no device was available to tap a notification.</t>
  </si>
  <si>
    <t xml:space="preserve">DEF-058</t>
  </si>
  <si>
    <t xml:space="preserve">Visible sync state and the needs-attention queue (FR-SYS-06) not as specified</t>
  </si>
  <si>
    <t xml:space="preserve">MT-DEM-028</t>
  </si>
  <si>
    <t xml:space="preserve">Expected: Observed behaviour satisfies every criterion in FR-SYS-06. Actual: Web client, browser set offline, tapped +250 ml: the app shows an error ('NOT SAVED - Water not logged. Check your connection and try again.'). No SYNCED / PENDING / SYNCING / FAILED state, no aggregate sync indicator and no 'Needs attention' screen. The mobile app's offline queue was not exercised.</t>
  </si>
  <si>
    <t xml:space="preserve">DEF-059</t>
  </si>
  <si>
    <t xml:space="preserve">Connectivity-required operation guardrails (FR-SYS-07) not as specified</t>
  </si>
  <si>
    <t xml:space="preserve">MT-DEM-029</t>
  </si>
  <si>
    <t xml:space="preserve">Expected: Observed behaviour satisfies every criterion in FR-SYS-07. Actual: Web client, browser set offline, opened Add plant and entered a nickname: the Add plant button stays enabled; there is no inline reason ('Adding a plant needs an internet connection...') and no Try again control.</t>
  </si>
  <si>
    <t xml:space="preserve">Area</t>
  </si>
  <si>
    <t xml:space="preserve">Requirement</t>
  </si>
  <si>
    <t xml:space="preserve">Expected result</t>
  </si>
  <si>
    <t xml:space="preserve">Actual result</t>
  </si>
  <si>
    <t xml:space="preserve">Build / commit</t>
  </si>
  <si>
    <t xml:space="preserve">Evidence file</t>
  </si>
  <si>
    <t xml:space="preserve">Retest of</t>
  </si>
  <si>
    <t xml:space="preserve">Observed behaviour satisfies every criterion in FR-ACC-17.</t>
  </si>
  <si>
    <t xml:space="preserve">Registered, moved from step 1 to step 2 of onboarding, reloaded the page: wizard restarted at Step 1 of 2. Database check: profiles.onboarding_last_step and onboarding_completed_at are NULL after step 1. No API route reads or writes onboarding progress (see comment at top of OnboardingPage.tsx).</t>
  </si>
  <si>
    <t xml:space="preserve">PlantPal-Plus-main_with_testing_v2.zip (no commit hash)</t>
  </si>
  <si>
    <t xml:space="preserve">Local build in cloud sandbox: http://localhost:5173 (API :4000, PostgreSQL 16, NODE_ENV=development) | Headless Chromium (Playwright, chromium-1194) | Linux (cloud sandbox), Node 22.22</t>
  </si>
  <si>
    <t xml:space="preserve">MT-DEM-001_FAIL_2026-10-21.png</t>
  </si>
  <si>
    <t xml:space="preserve">MT-DEM-002</t>
  </si>
  <si>
    <t xml:space="preserve">Observed behaviour satisfies every criterion in FR-DSH-02.</t>
  </si>
  <si>
    <t xml:space="preserve">Dashboard header shows weekday-and-date label ('WEDNESDAY 21 OCTOBER 2026'), a time-of-day greeting and the display name ('Good morning, run1'). The dashboard has no date navigation, so only today's date label could be observed (see MT-DEM-004).</t>
  </si>
  <si>
    <t xml:space="preserve">MT-DEM-002_PASS_2026-10-21.png</t>
  </si>
  <si>
    <t xml:space="preserve">Observed behaviour satisfies every criterion in FR-DSH-10.</t>
  </si>
  <si>
    <t xml:space="preserve">With all three modules enabled the dashboard shows no quick-add control set. The only logging controls are a single 'Log meal' row in the Today list and 'Open plants / fitness / nutrition' links. BR-DSH-09 requires up to 5 actions (Log water +1 glass, Log a meal, Log a workout, Water a plant, Log steps).</t>
  </si>
  <si>
    <t xml:space="preserve">MT-DEM-003_FAIL_2026-10-21.png</t>
  </si>
  <si>
    <t xml:space="preserve">Observed behaviour satisfies every criterion in FR-DSH-12.</t>
  </si>
  <si>
    <t xml:space="preserve">The dashboard has no date navigation and no Today control (DashboardPage.tsx has no date state or navigation; none appears in the UI). The API accepts ?date= but the user cannot browse other days, so the control that returns to today and hides on today cannot be shown. (Nutrition has previous/next day arrows; the dashboard does not.)</t>
  </si>
  <si>
    <t xml:space="preserve">MT-DEM-004_FAIL_2026-10-21_src-MT-DEM-002.png</t>
  </si>
  <si>
    <t xml:space="preserve">Observed behaviour satisfies every criterion in FR-DSH-16.</t>
  </si>
  <si>
    <t xml:space="preserve">Fresh account (no plants, workouts or meals): dashboard shows module cards and a generic 'Log a meal' row only. The BR-DSH-10 empty states ('No plants yet / Add your first plant and we will work out when to water it / Add a plant', 'No workouts logged', 'No meals logged' with time-of-day call to action) do not appear on the dashboard. (The module pages have their own empty states.)</t>
  </si>
  <si>
    <t xml:space="preserve">MT-DEM-005_FAIL_2026-10-21.png</t>
  </si>
  <si>
    <t xml:space="preserve">Observed behaviour satisfies every criterion in FR-DSH-22.</t>
  </si>
  <si>
    <t xml:space="preserve">Measured by resizing the browser. 1280 px and 1600 px: three columns (rings card, stat cards, modules in three). 1100 px and 1000 px: stacked layout. 700 px (below 768): the stat cards and module cards show two columns, but the requirement is one column below 768 px (the cards use Tailwind sm:grid-cols-2, which starts at 640 px). 600 px: one column.</t>
  </si>
  <si>
    <t xml:space="preserve">MT-DEM-007_FAIL_2026-10-21_700.png; MT-DEM-007_FAIL_2026-10-21_1100.png; MT-DEM-007_FAIL_2026-10-21_1300.png</t>
  </si>
  <si>
    <t xml:space="preserve">Observed behaviour satisfies every criterion in FR-SET-01.</t>
  </si>
  <si>
    <t xml:space="preserve">Settings is a single scrolling page with sections Account, Modules, Plant care, Notifications, Appearance, Accessibility, Privacy and Danger zone. BR-SET-01 requires nine sections in order: Profile, Preferences, Modules, Notifications, Integrations, Accessibility, Your data, Security, About and legal. Missing: Profile, Integrations, Your data, Security, About and legal. It is reachable in one tap from the dashboard.</t>
  </si>
  <si>
    <t xml:space="preserve">MT-DEM-008_FAIL_2026-10-21.png</t>
  </si>
  <si>
    <t xml:space="preserve">Observed behaviour satisfies every criterion in FR-SET-02.</t>
  </si>
  <si>
    <t xml:space="preserve">Settings has no profile entry point. The Account section shows e-mail and status, and the only related control, 'Set up preferences', links to /onboarding (SettingsPage.tsx l.490), which edits habits, units, hemisphere and week start, not the profile.</t>
  </si>
  <si>
    <t xml:space="preserve">MT-DEM-009_FAIL_2026-10-21.png</t>
  </si>
  <si>
    <t xml:space="preserve">Observed behaviour satisfies every criterion in FR-FIT-06.</t>
  </si>
  <si>
    <t xml:space="preserve">Logged a Run, 45 min, moderate. The energy is shown as '~515 kcal' (workout log) and '515 kcal estimated' (summary). No plus-or-minus error band, no low-to-high range and no non-medical-estimate disclaimer is shown anywhere on the Fitness page.</t>
  </si>
  <si>
    <t xml:space="preserve">MT-DEM-013_FAIL_2026-10-21.png</t>
  </si>
  <si>
    <t xml:space="preserve">Observed behaviour satisfies every criterion in FR-GAM-16.</t>
  </si>
  <si>
    <t xml:space="preserve">Logged the first workout. The only feedback was a generic 'Logged Run workout' toast; no unlock celebration was shown. The unlock appears only later on the Achievements page ('Unlocked Oct 21, 2026'). GET /api/v1/notifications returns 404 and there is no notification centre in the navigation, so no permanent notification-centre entry exists. The push request was not observed.</t>
  </si>
  <si>
    <t xml:space="preserve">MT-DEM-015_FAIL_2026-10-21_src-MT-DEM-016.png; MT-DEM-015_FAIL_2026-10-21_src-MT-DEM-019.txt</t>
  </si>
  <si>
    <t xml:space="preserve">Observed behaviour satisfies every criterion in FR-GAM-17.</t>
  </si>
  <si>
    <t xml:space="preserve">Achievements page lists the 16 seeded badges (see DEF-028) with only two states: LOCKED, or 'Unlocked &lt;date&gt;'. No IN_PROGRESS state and no progress percentage is shown for locked badges (API returns progress_pct only for unlocked rows, value 100).</t>
  </si>
  <si>
    <t xml:space="preserve">MT-DEM-016_FAIL_2026-10-21.png</t>
  </si>
  <si>
    <t xml:space="preserve">Observed behaviour satisfies every criterion in FR-NOT-19.</t>
  </si>
  <si>
    <t xml:space="preserve">The push message built by the reminder service carries only data: { reminder_id } (reminderService.ts l.50). No deep link is included. A search of api/src and mobile/src finds no deep_link, deeplink or Linking route table. Code review plus source evidence; no device was available to tap a notification.</t>
  </si>
  <si>
    <t xml:space="preserve">MT-DEM-017_FAIL_2026-10-21.txt</t>
  </si>
  <si>
    <t xml:space="preserve">Observed behaviour satisfies every criterion in FR-SYS-06.</t>
  </si>
  <si>
    <t xml:space="preserve">Web client, browser set offline, tapped +250 ml: the app shows an error ('NOT SAVED - Water not logged. Check your connection and try again.'). No SYNCED / PENDING / SYNCING / FAILED state, no aggregate sync indicator and no 'Needs attention' screen. The mobile app's offline queue was not exercised.</t>
  </si>
  <si>
    <t xml:space="preserve">MT-DEM-028_FAIL_2026-10-21.png</t>
  </si>
  <si>
    <t xml:space="preserve">Observed behaviour satisfies every criterion in FR-SYS-07.</t>
  </si>
  <si>
    <t xml:space="preserve">Web client, browser set offline, opened Add plant and entered a nickname: the Add plant button stays enabled; there is no inline reason ('Adding a plant needs an internet connection...') and no Try again control.</t>
  </si>
  <si>
    <t xml:space="preserve">MT-DEM-029_FAIL_2026-10-21.png</t>
  </si>
  <si>
    <t xml:space="preserve">MT-INS-001</t>
  </si>
  <si>
    <t xml:space="preserve">The artefact conforms to FR-ACC-23.</t>
  </si>
  <si>
    <t xml:space="preserve">requestUser.ts takes user id only from the verified token; plantsRepo.ts queries filter on user_id (e.g. l.107); foreign/missing plants return notFound() (plantsController.ts l.107,148,159). Id-only queries found are in auth, reminder-worker and purge code (authRepo.ts, remindersRepo.ts l.205-227, purgeRepo.ts l.128), not user-facing reads. Fitness and nutrition repos only spot-checked. NOTE: the issued JWT has iss=plantpal-api and aud=plantpal-clients, but FR-ACC-23 specifies iss=plantpal-plus and aud=plantpal-api. Ownership enforcement works (see MT-SEC-001); tester to decide whether this claim mismatch should downgrade this row to Fail.</t>
  </si>
  <si>
    <t xml:space="preserve">Source review of zip; no running build | n/a (code review) | n/a</t>
  </si>
  <si>
    <t xml:space="preserve">The artefact conforms to FR-SET-25.</t>
  </si>
  <si>
    <t xml:space="preserve">No "English (en)" disabled language selector, no "More languages are planned" caption and no locale catalogue found in web/src or mobile/src (searched for all three).</t>
  </si>
  <si>
    <t xml:space="preserve">The artefact conforms to FR-FIT-01.</t>
  </si>
  <si>
    <t xml:space="preserve">The nine activity codes exist only as a CHECK constraint (003-fitness-schema.sql l.20, l.46). No activity-type catalogue table with three MET values, error-band percentage and distance flag per type.</t>
  </si>
  <si>
    <t xml:space="preserve">The artefact conforms to FR-FIT-11.</t>
  </si>
  <si>
    <t xml:space="preserve">db/seeds/002-exercises.sql seeds 20 exercises (SRS requires at least 40); only 10 are strength exercises. Confirmed on a freshly seeded database: SELECT count(*) FROM exercises = 20.</t>
  </si>
  <si>
    <t xml:space="preserve">MT-INS-006</t>
  </si>
  <si>
    <t xml:space="preserve">The artefact conforms to FR-GAM-10.</t>
  </si>
  <si>
    <t xml:space="preserve">Achievements routes are GET / and GET /streaks plus POST /seen only (achievementsRoutes.ts l.18-20). markSeen reads no request body and uses only the user id (achievementsController.ts l.27-31). No endpoint accepts client-supplied streak, unlock, progress or points.</t>
  </si>
  <si>
    <t xml:space="preserve">The artefact conforms to FR-GAM-11.</t>
  </si>
  <si>
    <t xml:space="preserve">db/seeds/003-achievements.sql seeds 16 achievements (SRS requires 46). Categories used are PLANT_CARE, FITNESS, NUTRITION, SHARED, not the six in the SRS. Points are 10/25/50(one Silver)/100/500, not 10/25/50. No secret flag column in the insert. Confirmed on a freshly seeded database: SELECT count(*) FROM achievements = 16.</t>
  </si>
  <si>
    <t xml:space="preserve">The artefact conforms to FR-NUT-07.</t>
  </si>
  <si>
    <t xml:space="preserve">db/seeds/005-foods-india.sql seeds 180 foods (SRS requires at least 300). Macros are non-null; no duplicate names found. Confirmed on a freshly seeded database: SELECT count(*) FROM foods = 180.</t>
  </si>
  <si>
    <t xml:space="preserve">MT-INS-009</t>
  </si>
  <si>
    <t xml:space="preserve">The artefact conforms to FR-PLT-01.</t>
  </si>
  <si>
    <t xml:space="preserve">94 species seeded (16 in 001-species.sql + 78 in 004-species-india.sql), above the minimum of 60; no duplicate names. Per-species care-profile completeness was not checked field by field. Confirmed on a freshly seeded database: SELECT count(*) FROM species = 94.</t>
  </si>
  <si>
    <t xml:space="preserve">The artefact conforms to FR-SYS-18.</t>
  </si>
  <si>
    <t xml:space="preserve">Routes are mounted under /api/v1 (app.ts l.92-94) and X-Request-Id is echoed (requestId.ts). But SRS requires ^[A-Za-z0-9-]{8,64}$ while the code accepts . and _ and has no 8-character minimum (SAFE_ID, MAX_INBOUND_LENGTH). Request id was not found in logging.ts log records. Live confirmation: X-Request-Id "short" (5 chars) and "abc.def_ghi" were both echoed back (SRS rejects both). Auth endpoints are mounted at /api/auth, not /api/v1 (app.ts l.90). GET /api/v1/plants/ (trailing slash) returns 200; SRS requires 404.</t>
  </si>
  <si>
    <t xml:space="preserve">The artefact conforms to FR-SYS-22.</t>
  </si>
  <si>
    <t xml:space="preserve">Migrations 001-006: no table has sync_seq or tz_at_capture; events use local_date_str instead of local_date; deleted_at exists only on plants, growth_log_entries, workouts, foods, meals. Positive: all primary keys are UUID and timestamps are timestamptz.</t>
  </si>
  <si>
    <t xml:space="preserve">MT-SEC-001</t>
  </si>
  <si>
    <t xml:space="preserve">Security (manual)</t>
  </si>
  <si>
    <t xml:space="preserve">NFR-SEC</t>
  </si>
  <si>
    <t xml:space="preserve">IDOR replay in the browser</t>
  </si>
  <si>
    <t xml:space="preserve">404; no data from the first user returned.</t>
  </si>
  <si>
    <t xml:space="preserve">Registered users A and B; A created a plant. B got 404 on GET, PUT, DELETE and POST /care for A's plant; B's plant list did not contain it; A still read it (200). No-token request returned 401.</t>
  </si>
  <si>
    <t xml:space="preserve">Local API http://localhost:4000 (Node 22, PostgreSQL 16, freshly migrated and seeded) | curl (no browser) | Ubuntu 24.04 (sandbox)</t>
  </si>
  <si>
    <t xml:space="preserve">Token after logout</t>
  </si>
  <si>
    <t xml:space="preserve">401.</t>
  </si>
  <si>
    <t xml:space="preserve">Logged in, refreshed (200), logged out (200), then reused the post-logout refresh token: 401. OBSERVATION (not part of this row): re-sending the already-rotated previous refresh token also returned 200, so refresh-token reuse after rotation was not rejected.</t>
  </si>
  <si>
    <t xml:space="preserve">MT-SEC-003</t>
  </si>
  <si>
    <t xml:space="preserve">Stored XSS in nickname and note</t>
  </si>
  <si>
    <t xml:space="preserve">Rendered as text; no script runs on any screen.</t>
  </si>
  <si>
    <t xml:space="preserve">Created a plant with nickname &lt;img src=x onerror=alert(1)&gt; and a growth note with the same text. The text is displayed literally on the plant list and detail page; no img element with src=x was created and 0 JavaScript dialogs fired while visiting plants, plant detail, dashboard and settings.</t>
  </si>
  <si>
    <t xml:space="preserve">MT-SEC-003_PASS_2026-10-21.png; MT-SEC-003_PASS_2026-10-21_detail.png</t>
  </si>
  <si>
    <t xml:space="preserve">MT-SEC-004</t>
  </si>
  <si>
    <t xml:space="preserve">CSRF on cookie refresh</t>
  </si>
  <si>
    <t xml:space="preserve">403.</t>
  </si>
  <si>
    <t xml:space="preserve">POST /api/auth/refresh with the refresh cookie: from Origin http://evil.example = 403; with no Origin/Referer = 403; from the allowed origin http://localhost:5173 = 200.</t>
  </si>
  <si>
    <t xml:space="preserve">MT-SEC-005</t>
  </si>
  <si>
    <t xml:space="preserve">Login lockout</t>
  </si>
  <si>
    <t xml:space="preserve">Account throttled with a clear message and Retry-After; success resets after the window.</t>
  </si>
  <si>
    <t xml:space="preserve">5 failed logins returned 401; the 6th returned 429 with Retry-After: 60; a correct password during the lock also returned 429 with Retry-After: 60. Reset after the window was not waited out.</t>
  </si>
  <si>
    <t xml:space="preserve">MT-SEC-006</t>
  </si>
  <si>
    <t xml:space="preserve">Password policy messaging</t>
  </si>
  <si>
    <t xml:space="preserve">UI and API reject; record the actual behaviour.</t>
  </si>
  <si>
    <t xml:space="preserve">Registered with abcdefghijkl and with aaaaaaaaaaaa: both returned 202 and the accounts were created and ACTIVE. Only a 12-128 character length rule is enforced (password.ts l.78-87); no repeated-character, composition or breached-password check.</t>
  </si>
  <si>
    <t xml:space="preserve">MT-SEC-008</t>
  </si>
  <si>
    <t xml:space="preserve">Browser storage review</t>
  </si>
  <si>
    <t xml:space="preserve">No password; refresh token not readable from script (HttpOnly cookie on web).</t>
  </si>
  <si>
    <t xml:space="preserve">After login: localStorage holds only the theme, sessionStorage only a greeting flag, document.cookie is empty and IndexedDB is empty. No password and no token in script-readable storage. The refresh_token cookie is HttpOnly and Secure with path /api/auth (SameSite=None, relying on the Origin check tested in MT-SEC-004).</t>
  </si>
  <si>
    <t xml:space="preserve">MT-SEC-008_PASS_2026-10-21.txt</t>
  </si>
  <si>
    <t xml:space="preserve">MT-SEC-009</t>
  </si>
  <si>
    <t xml:space="preserve">Error pages</t>
  </si>
  <si>
    <t xml:space="preserve">No stack trace, SQL or file path shown.</t>
  </si>
  <si>
    <t xml:space="preserve">Unknown web page shows a friendly 404 with no technical detail. API errors checked: invalid JSON (400), invalid id (422), unknown route (404) and an oversized field (422): each returns only code, message, request id and timestamp. No stack trace, SQL or file path. A forced 500 response body was not captured here.</t>
  </si>
  <si>
    <t xml:space="preserve">MT-SEC-009_PASS_2026-10-21.png</t>
  </si>
  <si>
    <t xml:space="preserve">Compliance</t>
  </si>
  <si>
    <t xml:space="preserve">NFR-PRIV / NFR-LEGL</t>
  </si>
  <si>
    <t xml:space="preserve">Privacy notice at registration</t>
  </si>
  <si>
    <t xml:space="preserve">Privacy notice and terms are linked and readable before submitting.</t>
  </si>
  <si>
    <t xml:space="preserve">Code review only. RegisterPage.tsx has no privacy notice or terms link; "Privacy" appears only in SettingsPage.tsx l.775.</t>
  </si>
  <si>
    <t xml:space="preserve">Consent recorded</t>
  </si>
  <si>
    <t xml:space="preserve">Consent versions and timestamps stored (note that the API currently takes only confirmed_age: compare with the SRS).</t>
  </si>
  <si>
    <t xml:space="preserve">After registering 5 accounts, SELECT count(*) FROM consent_records = 0. The register API accepts only confirmed_age; no consent versions or timestamps are stored.</t>
  </si>
  <si>
    <t xml:space="preserve">MT-CMP-003</t>
  </si>
  <si>
    <t xml:space="preserve">Age gate at 16</t>
  </si>
  <si>
    <t xml:space="preserve">Refused with a clear message.</t>
  </si>
  <si>
    <t xml:space="preserve">POST /api/auth/register without confirmed_age returned 422 with details field confirmed_age / must_be_confirmed. (Web form also blocks it: RegisterPage.tsx.)</t>
  </si>
  <si>
    <t xml:space="preserve">Data export</t>
  </si>
  <si>
    <t xml:space="preserve">Download contains every category of the user's data and no other user's.</t>
  </si>
  <si>
    <t xml:space="preserve">Requested account/export, account/data-export, sync/export and account/export-request with a valid token: all 404. No data-export feature exists in the API.</t>
  </si>
  <si>
    <t xml:space="preserve">MT-CMP-005</t>
  </si>
  <si>
    <t xml:space="preserve">Deletion flow end to end</t>
  </si>
  <si>
    <t xml:space="preserve">30-day date shown, banner shown, cancel restores ACTIVE.</t>
  </si>
  <si>
    <t xml:space="preserve">Requested deletion with 'DELETE' and the password: status PENDING_DELETION, purge date 2026-11-20 (30 days), 'Deletion scheduled' banner and the date 'erased after Nov 20, 2026' shown on Settings. Signed out and in again during the grace period: sign-in works and lands on Settings with 'Keep my account'. Clicking it restored status ACTIVE; requesting deletion again worked. The banner appears on Settings, not on the dashboard.</t>
  </si>
  <si>
    <t xml:space="preserve">MT-CMP-005_PASS_2026-10-21_requested.png; MT-CMP-005_PASS_2026-10-21_grace.png; MT-CMP-005_PASS_2026-10-21_cancelled.png</t>
  </si>
  <si>
    <t xml:space="preserve">MT-CMP-006</t>
  </si>
  <si>
    <t xml:space="preserve">Erasure after the grace period</t>
  </si>
  <si>
    <t xml:space="preserve">All rows removed; sign-in fails (see DEF-019 for email and storage).</t>
  </si>
  <si>
    <t xml:space="preserve">Requested deletion, set users.purge_after to the past, ran runPurgePass(): due 1, erased 1, failed 0. Rows for that user in users, profiles, plants, sessions and tokens were removed (counts 0) and sign-in returned 401. DEF-019 (email and storage cleanup) was not checked.</t>
  </si>
  <si>
    <t xml:space="preserve">Health disclaimer</t>
  </si>
  <si>
    <t xml:space="preserve">Disclaimer that values are estimates and not medical advice is visible near each.</t>
  </si>
  <si>
    <t xml:space="preserve">Code review only. The "not medical advice" text exists on LandingPage.tsx and AuthLayout.tsx only; not found on the fitness or nutrition screens.</t>
  </si>
  <si>
    <t xml:space="preserve">MT-CMP-008</t>
  </si>
  <si>
    <t xml:space="preserve">In-app deletion reachable</t>
  </si>
  <si>
    <t xml:space="preserve">Reachable in 3 taps or fewer (app-store requirement).</t>
  </si>
  <si>
    <t xml:space="preserve">From the dashboard: Settings (tap 1), Delete account button (tap 2) opens the deletion dialog; confirmation is the third step. The deletion screen is reached in 2 taps on web. The mobile app was not checked.</t>
  </si>
  <si>
    <t xml:space="preserve">MT-CMP-008_PASS_2026-10-21.png</t>
  </si>
  <si>
    <t xml:space="preserve">MT-CMP-009</t>
  </si>
  <si>
    <t xml:space="preserve">Analytics opt-in default</t>
  </si>
  <si>
    <t xml:space="preserve">Analytics is off by default.</t>
  </si>
  <si>
    <t xml:space="preserve">GET /api/v1/settings for a fresh account returned "analytics_opt_in": false.</t>
  </si>
  <si>
    <t xml:space="preserve">Third-party licences</t>
  </si>
  <si>
    <t xml:space="preserve">Page exists and matches the inventory.</t>
  </si>
  <si>
    <t xml:space="preserve">Code review only. 05_documentation/THIRD_PARTY_LICENSES.md exists, but there is no in-app licences page to compare against it.</t>
  </si>
  <si>
    <t xml:space="preserve">MT-UAT-001</t>
  </si>
  <si>
    <t xml:space="preserve">UAT</t>
  </si>
  <si>
    <t xml:space="preserve">User story (Must)</t>
  </si>
  <si>
    <t xml:space="preserve">Register and add the first plant</t>
  </si>
  <si>
    <t xml:space="preserve">Plant appears with a next-water date (see DEF-008).</t>
  </si>
  <si>
    <t xml:space="preserve">Executed by the tester in UAT; passed.</t>
  </si>
  <si>
    <t xml:space="preserve">Local build</t>
  </si>
  <si>
    <t xml:space="preserve">MT-UAT-002</t>
  </si>
  <si>
    <t xml:space="preserve">Water a plant and see the next due date move</t>
  </si>
  <si>
    <t xml:space="preserve">Next due date moves forward by the effective interval.</t>
  </si>
  <si>
    <t xml:space="preserve">MT-UAT-003</t>
  </si>
  <si>
    <t xml:space="preserve">Log a run and see calories</t>
  </si>
  <si>
    <t xml:space="preserve">Energy shown matches MET x kg x min / 60.</t>
  </si>
  <si>
    <t xml:space="preserve">Log a strength workout and see volume and a record</t>
  </si>
  <si>
    <t xml:space="preserve">Volume 1500 kg; estimated 1RM 116.7 kg; a personal record is created.</t>
  </si>
  <si>
    <t xml:space="preserve">Volume (1500 kg) and estimated 1RM (116.7 kg) are computed correctly server-side (fitnessController.ts l.141-149; shared fitness.ts l.46-49). No personal record is created: nothing inserts into personal_records, and getPersonalRecords (fitnessRepo.ts l.272-285) only reads it, so the PR list stays empty. Cause found by code review; the UAT failure was reported by the tester.</t>
  </si>
  <si>
    <t xml:space="preserve">MT-UAT-005</t>
  </si>
  <si>
    <t xml:space="preserve">Log breakfast and see the daily total</t>
  </si>
  <si>
    <t xml:space="preserve">Daily total equals the sum shown.</t>
  </si>
  <si>
    <t xml:space="preserve">MT-UAT-006</t>
  </si>
  <si>
    <t xml:space="preserve">Set macro targets and see progress</t>
  </si>
  <si>
    <t xml:space="preserve">Progress bar and remaining calories are correct.</t>
  </si>
  <si>
    <t xml:space="preserve">MT-UAT-007</t>
  </si>
  <si>
    <t xml:space="preserve">Reach the water goal</t>
  </si>
  <si>
    <t xml:space="preserve">Goal reached state is shown.</t>
  </si>
  <si>
    <t xml:space="preserve">MT-UAT-008</t>
  </si>
  <si>
    <t xml:space="preserve">Streak increments</t>
  </si>
  <si>
    <t xml:space="preserve">Overall streak increments once per day.</t>
  </si>
  <si>
    <t xml:space="preserve">MT-UAT-009</t>
  </si>
  <si>
    <t xml:space="preserve">Freeze day</t>
  </si>
  <si>
    <t xml:space="preserve">Streak continues and one token is consumed.</t>
  </si>
  <si>
    <t xml:space="preserve">MT-UAT-010</t>
  </si>
  <si>
    <t xml:space="preserve">Achievement unlock</t>
  </si>
  <si>
    <t xml:space="preserve">Unlock is shown once and listed as unlocked.</t>
  </si>
  <si>
    <t xml:space="preserve">MT-UAT-011</t>
  </si>
  <si>
    <t xml:space="preserve">Turn a module off</t>
  </si>
  <si>
    <t xml:space="preserve">Dashboard and navigation hide it; data is retained; streak excludes it.</t>
  </si>
  <si>
    <t xml:space="preserve">MT-UAT-012</t>
  </si>
  <si>
    <t xml:space="preserve">No notification during quiet hours; delivered after.</t>
  </si>
  <si>
    <t xml:space="preserve">MT-UAT-013</t>
  </si>
  <si>
    <t xml:space="preserve">Reminders list and dismiss</t>
  </si>
  <si>
    <t xml:space="preserve">It disappears and does not return.</t>
  </si>
  <si>
    <t xml:space="preserve">MT-UAT-014</t>
  </si>
  <si>
    <t xml:space="preserve">Offline use then sync</t>
  </si>
  <si>
    <t xml:space="preserve">No data lost or duplicated.</t>
  </si>
  <si>
    <t xml:space="preserve">MT-UAT-015</t>
  </si>
  <si>
    <t xml:space="preserve">Delete the account</t>
  </si>
  <si>
    <t xml:space="preserve">Confirmation shown; sign-in still possible during grace.</t>
  </si>
  <si>
    <t xml:space="preserve">Suite / scope</t>
  </si>
  <si>
    <t xml:space="preserve">Total</t>
  </si>
  <si>
    <t xml:space="preserve">Skipped</t>
  </si>
  <si>
    <t xml:space="preserve">Pass %</t>
  </si>
  <si>
    <t xml:space="preserve">Fails that prove a logged defect</t>
  </si>
  <si>
    <t xml:space="preserve">Unexplained fails</t>
  </si>
  <si>
    <t xml:space="preserve">shared (unit)</t>
  </si>
  <si>
    <t xml:space="preserve">web (components)</t>
  </si>
  <si>
    <t xml:space="preserve">mobile (logic)</t>
  </si>
  <si>
    <t xml:space="preserve">api (integration + white-box)</t>
  </si>
  <si>
    <t xml:space="preserve">Baseline of the existing suite (run before any new test, with PostgreSQL): 466 pass (shared 53, api 239, web 150, mobile 24). Without TEST_DATABASE_URL: 448 pass, 18 skipped.</t>
  </si>
  <si>
    <t xml:space="preserve">Requirement mapping coverage (FR_Register):</t>
  </si>
  <si>
    <t xml:space="preserve">Open defects (status not Closed or Rejected):</t>
  </si>
  <si>
    <t xml:space="preserve">Defects by severity: S2</t>
  </si>
  <si>
    <t xml:space="preserve">RUN-01B (sandbox, 18 Oct 2026): additional tests, separate from RUN-01</t>
  </si>
  <si>
    <t xml:space="preserve">web (new pages)</t>
  </si>
  <si>
    <t xml:space="preserve">api (push + known gaps)</t>
  </si>
  <si>
    <t xml:space="preserve">RUN-02 (tester run on local machine, 18 Oct 2026): all 849 new tests re-run; API run serially</t>
  </si>
  <si>
    <t xml:space="preserve">RUN-02 notes: Tester Alvin, Windows, Node 24.21.0 (sandbox runs used Node 22.22.2), PostgreSQL 16, Vitest 4.x, repo snapshot 11 Oct 2026. Raw output: 04_testing/results/run-02/*.json.</t>
  </si>
  <si>
    <t xml:space="preserve">RUN-02 scope equals RUN-01 + RUN-01B (849 new tests). The shared and web JSON files also contain the developers' existing tests (shared 53, all pass); these are not logged row by row and are covered by the baseline note above.</t>
  </si>
  <si>
    <t xml:space="preserve">Result: 36 failures, every one tagged [DEF-nnn], zero unexplained. Same 36 as RUN-01 (30) + RUN-01B (6). Failures prove DEF-001 to DEF-011 and DEF-013 to DEF-021 (DEF-012 withdrawn; DEF-022 is the npm audit, no test).</t>
  </si>
  <si>
    <t xml:space="preserve">First API attempt ran test files in parallel against one database: 488 run, 420 pass, 68 fail, 38 untagged. Cause: harness.ts cleanup deletes all @verify.plantpal.example users, which removes users another test file is still using (foreign-key errors on plants_user_id_fkey and auth_sessions_user_id_fkey). Re-run with --no-file-parallelism gives the result logged above. That first attempt is not logged as a run.</t>
  </si>
  <si>
    <t xml:space="preserve">Manual testing (Must-priority cases, local build)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</si>
</sst>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45.7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34.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4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5" customFormat="false" ht="15" hidden="false" customHeight="true" outlineLevel="0" collapsed="false">
      <c r="A15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9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8" min="8" style="1" width="44"/>
    <col collapsed="false" customWidth="true" hidden="false" outlineLevel="0" max="9" min="9" style="1" width="14"/>
    <col collapsed="false" customWidth="true" hidden="false" outlineLevel="0" max="10" min="10" style="1" width="48"/>
  </cols>
  <sheetData>
    <row r="1" customFormat="false" ht="23.25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</row>
    <row r="2" customFormat="false" ht="68.25" hidden="false" customHeight="true" outlineLevel="0" collapsed="false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29</v>
      </c>
      <c r="H2" s="7" t="s">
        <v>30</v>
      </c>
      <c r="I2" s="6" t="str">
        <f aca="false">IF(H2="","Not mapped","Mapped")</f>
        <v>Mapped</v>
      </c>
      <c r="J2" s="6"/>
    </row>
    <row r="3" customFormat="false" ht="68.25" hidden="false" customHeight="true" outlineLevel="0" collapsed="false">
      <c r="A3" s="6" t="s">
        <v>31</v>
      </c>
      <c r="B3" s="6" t="s">
        <v>32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29</v>
      </c>
      <c r="H3" s="7" t="s">
        <v>33</v>
      </c>
      <c r="I3" s="6" t="str">
        <f aca="false">IF(H3="","Not mapped","Mapped")</f>
        <v>Mapped</v>
      </c>
      <c r="J3" s="6"/>
    </row>
    <row r="4" customFormat="false" ht="15" hidden="false" customHeight="true" outlineLevel="0" collapsed="false">
      <c r="A4" s="6" t="s">
        <v>34</v>
      </c>
      <c r="B4" s="6" t="s">
        <v>35</v>
      </c>
      <c r="C4" s="6" t="s">
        <v>26</v>
      </c>
      <c r="D4" s="6" t="s">
        <v>36</v>
      </c>
      <c r="E4" s="6" t="s">
        <v>37</v>
      </c>
      <c r="F4" s="6" t="s">
        <v>29</v>
      </c>
      <c r="G4" s="6" t="s">
        <v>29</v>
      </c>
      <c r="H4" s="7"/>
      <c r="I4" s="6" t="str">
        <f aca="false">IF(H4="","Not mapped","Mapped")</f>
        <v>Not mapped</v>
      </c>
      <c r="J4" s="6" t="s">
        <v>38</v>
      </c>
    </row>
    <row r="5" customFormat="false" ht="15" hidden="false" customHeight="true" outlineLevel="0" collapsed="false">
      <c r="A5" s="6" t="s">
        <v>39</v>
      </c>
      <c r="B5" s="6" t="s">
        <v>40</v>
      </c>
      <c r="C5" s="6" t="s">
        <v>26</v>
      </c>
      <c r="D5" s="6" t="s">
        <v>27</v>
      </c>
      <c r="E5" s="6" t="s">
        <v>41</v>
      </c>
      <c r="F5" s="6" t="s">
        <v>29</v>
      </c>
      <c r="G5" s="6" t="s">
        <v>29</v>
      </c>
      <c r="H5" s="7"/>
      <c r="I5" s="6" t="str">
        <f aca="false">IF(H5="","Not mapped","Mapped")</f>
        <v>Not mapped</v>
      </c>
      <c r="J5" s="6" t="s">
        <v>42</v>
      </c>
    </row>
    <row r="6" customFormat="false" ht="15" hidden="false" customHeight="true" outlineLevel="0" collapsed="false">
      <c r="A6" s="6" t="s">
        <v>43</v>
      </c>
      <c r="B6" s="6" t="s">
        <v>44</v>
      </c>
      <c r="C6" s="6" t="s">
        <v>26</v>
      </c>
      <c r="D6" s="6" t="s">
        <v>27</v>
      </c>
      <c r="E6" s="6" t="s">
        <v>41</v>
      </c>
      <c r="F6" s="6" t="s">
        <v>29</v>
      </c>
      <c r="G6" s="6" t="s">
        <v>29</v>
      </c>
      <c r="H6" s="7"/>
      <c r="I6" s="6" t="str">
        <f aca="false">IF(H6="","Not mapped","Mapped")</f>
        <v>Not mapped</v>
      </c>
      <c r="J6" s="6" t="s">
        <v>45</v>
      </c>
    </row>
    <row r="7" customFormat="false" ht="90.75" hidden="false" customHeight="true" outlineLevel="0" collapsed="false">
      <c r="A7" s="6" t="s">
        <v>46</v>
      </c>
      <c r="B7" s="6" t="s">
        <v>47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29</v>
      </c>
      <c r="H7" s="7" t="s">
        <v>48</v>
      </c>
      <c r="I7" s="6" t="str">
        <f aca="false">IF(H7="","Not mapped","Mapped")</f>
        <v>Mapped</v>
      </c>
      <c r="J7" s="6"/>
    </row>
    <row r="8" customFormat="false" ht="34.5" hidden="false" customHeight="true" outlineLevel="0" collapsed="false">
      <c r="A8" s="6" t="s">
        <v>49</v>
      </c>
      <c r="B8" s="6" t="s">
        <v>50</v>
      </c>
      <c r="C8" s="6" t="s">
        <v>26</v>
      </c>
      <c r="D8" s="6" t="s">
        <v>27</v>
      </c>
      <c r="E8" s="6" t="s">
        <v>41</v>
      </c>
      <c r="F8" s="6" t="s">
        <v>29</v>
      </c>
      <c r="G8" s="6" t="s">
        <v>29</v>
      </c>
      <c r="H8" s="7" t="s">
        <v>51</v>
      </c>
      <c r="I8" s="6" t="str">
        <f aca="false">IF(H8="","Not mapped","Mapped")</f>
        <v>Mapped</v>
      </c>
      <c r="J8" s="6"/>
    </row>
    <row r="9" customFormat="false" ht="34.5" hidden="false" customHeight="true" outlineLevel="0" collapsed="false">
      <c r="A9" s="6" t="s">
        <v>52</v>
      </c>
      <c r="B9" s="6" t="s">
        <v>53</v>
      </c>
      <c r="C9" s="6" t="s">
        <v>26</v>
      </c>
      <c r="D9" s="6" t="s">
        <v>27</v>
      </c>
      <c r="E9" s="6" t="s">
        <v>41</v>
      </c>
      <c r="F9" s="6" t="s">
        <v>29</v>
      </c>
      <c r="G9" s="6" t="s">
        <v>29</v>
      </c>
      <c r="H9" s="7" t="s">
        <v>54</v>
      </c>
      <c r="I9" s="6" t="str">
        <f aca="false">IF(H9="","Not mapped","Mapped")</f>
        <v>Mapped</v>
      </c>
      <c r="J9" s="6"/>
    </row>
    <row r="10" customFormat="false" ht="23.25" hidden="false" customHeight="true" outlineLevel="0" collapsed="false">
      <c r="A10" s="6" t="s">
        <v>55</v>
      </c>
      <c r="B10" s="6" t="s">
        <v>56</v>
      </c>
      <c r="C10" s="6" t="s">
        <v>26</v>
      </c>
      <c r="D10" s="6" t="s">
        <v>27</v>
      </c>
      <c r="E10" s="6" t="s">
        <v>41</v>
      </c>
      <c r="F10" s="6" t="s">
        <v>29</v>
      </c>
      <c r="G10" s="6" t="s">
        <v>29</v>
      </c>
      <c r="H10" s="7" t="s">
        <v>57</v>
      </c>
      <c r="I10" s="6" t="str">
        <f aca="false">IF(H10="","Not mapped","Mapped")</f>
        <v>Mapped</v>
      </c>
      <c r="J10" s="6"/>
    </row>
    <row r="11" customFormat="false" ht="23.25" hidden="false" customHeight="true" outlineLevel="0" collapsed="false">
      <c r="A11" s="6" t="s">
        <v>58</v>
      </c>
      <c r="B11" s="6" t="s">
        <v>59</v>
      </c>
      <c r="C11" s="6" t="s">
        <v>26</v>
      </c>
      <c r="D11" s="6" t="s">
        <v>27</v>
      </c>
      <c r="E11" s="6" t="s">
        <v>28</v>
      </c>
      <c r="F11" s="6" t="s">
        <v>29</v>
      </c>
      <c r="G11" s="6" t="s">
        <v>29</v>
      </c>
      <c r="H11" s="7" t="s">
        <v>60</v>
      </c>
      <c r="I11" s="6" t="str">
        <f aca="false">IF(H11="","Not mapped","Mapped")</f>
        <v>Mapped</v>
      </c>
      <c r="J11" s="6"/>
    </row>
    <row r="12" customFormat="false" ht="23.25" hidden="false" customHeight="true" outlineLevel="0" collapsed="false">
      <c r="A12" s="6" t="s">
        <v>61</v>
      </c>
      <c r="B12" s="6" t="s">
        <v>62</v>
      </c>
      <c r="C12" s="6" t="s">
        <v>26</v>
      </c>
      <c r="D12" s="6" t="s">
        <v>27</v>
      </c>
      <c r="E12" s="6" t="s">
        <v>41</v>
      </c>
      <c r="F12" s="6" t="s">
        <v>29</v>
      </c>
      <c r="G12" s="6" t="s">
        <v>29</v>
      </c>
      <c r="H12" s="7"/>
      <c r="I12" s="6" t="str">
        <f aca="false">IF(H12="","Not mapped","Mapped")</f>
        <v>Not mapped</v>
      </c>
      <c r="J12" s="6" t="s">
        <v>63</v>
      </c>
    </row>
    <row r="13" customFormat="false" ht="15" hidden="false" customHeight="true" outlineLevel="0" collapsed="false">
      <c r="A13" s="6" t="s">
        <v>64</v>
      </c>
      <c r="B13" s="6" t="s">
        <v>65</v>
      </c>
      <c r="C13" s="6" t="s">
        <v>26</v>
      </c>
      <c r="D13" s="6" t="s">
        <v>27</v>
      </c>
      <c r="E13" s="6" t="s">
        <v>41</v>
      </c>
      <c r="F13" s="6" t="s">
        <v>29</v>
      </c>
      <c r="G13" s="6" t="s">
        <v>29</v>
      </c>
      <c r="H13" s="7"/>
      <c r="I13" s="6" t="str">
        <f aca="false">IF(H13="","Not mapped","Mapped")</f>
        <v>Not mapped</v>
      </c>
      <c r="J13" s="6" t="s">
        <v>66</v>
      </c>
    </row>
    <row r="14" customFormat="false" ht="15" hidden="false" customHeight="true" outlineLevel="0" collapsed="false">
      <c r="A14" s="6" t="s">
        <v>67</v>
      </c>
      <c r="B14" s="6" t="s">
        <v>68</v>
      </c>
      <c r="C14" s="6" t="s">
        <v>26</v>
      </c>
      <c r="D14" s="6" t="s">
        <v>27</v>
      </c>
      <c r="E14" s="6" t="s">
        <v>41</v>
      </c>
      <c r="F14" s="6" t="s">
        <v>29</v>
      </c>
      <c r="G14" s="6" t="s">
        <v>29</v>
      </c>
      <c r="H14" s="7"/>
      <c r="I14" s="6" t="str">
        <f aca="false">IF(H14="","Not mapped","Mapped")</f>
        <v>Not mapped</v>
      </c>
      <c r="J14" s="6" t="s">
        <v>69</v>
      </c>
    </row>
    <row r="15" customFormat="false" ht="23.25" hidden="false" customHeight="true" outlineLevel="0" collapsed="false">
      <c r="A15" s="6" t="s">
        <v>70</v>
      </c>
      <c r="B15" s="6" t="s">
        <v>71</v>
      </c>
      <c r="C15" s="6" t="s">
        <v>26</v>
      </c>
      <c r="D15" s="6" t="s">
        <v>27</v>
      </c>
      <c r="E15" s="6" t="s">
        <v>41</v>
      </c>
      <c r="F15" s="6" t="s">
        <v>29</v>
      </c>
      <c r="G15" s="6" t="s">
        <v>29</v>
      </c>
      <c r="H15" s="7"/>
      <c r="I15" s="6" t="str">
        <f aca="false">IF(H15="","Not mapped","Mapped")</f>
        <v>Not mapped</v>
      </c>
      <c r="J15" s="6" t="s">
        <v>72</v>
      </c>
    </row>
    <row r="16" customFormat="false" ht="15" hidden="false" customHeight="true" outlineLevel="0" collapsed="false">
      <c r="A16" s="6" t="s">
        <v>73</v>
      </c>
      <c r="B16" s="6" t="s">
        <v>74</v>
      </c>
      <c r="C16" s="6" t="s">
        <v>26</v>
      </c>
      <c r="D16" s="6" t="s">
        <v>27</v>
      </c>
      <c r="E16" s="6" t="s">
        <v>41</v>
      </c>
      <c r="F16" s="6" t="s">
        <v>29</v>
      </c>
      <c r="G16" s="6" t="s">
        <v>29</v>
      </c>
      <c r="H16" s="7"/>
      <c r="I16" s="6" t="str">
        <f aca="false">IF(H16="","Not mapped","Mapped")</f>
        <v>Not mapped</v>
      </c>
      <c r="J16" s="6" t="s">
        <v>75</v>
      </c>
    </row>
    <row r="17" customFormat="false" ht="15" hidden="false" customHeight="true" outlineLevel="0" collapsed="false">
      <c r="A17" s="6" t="s">
        <v>76</v>
      </c>
      <c r="B17" s="6" t="s">
        <v>77</v>
      </c>
      <c r="C17" s="6" t="s">
        <v>26</v>
      </c>
      <c r="D17" s="6" t="s">
        <v>27</v>
      </c>
      <c r="E17" s="6" t="s">
        <v>41</v>
      </c>
      <c r="F17" s="6" t="s">
        <v>29</v>
      </c>
      <c r="G17" s="6" t="s">
        <v>29</v>
      </c>
      <c r="H17" s="7"/>
      <c r="I17" s="6" t="str">
        <f aca="false">IF(H17="","Not mapped","Mapped")</f>
        <v>Not mapped</v>
      </c>
      <c r="J17" s="6" t="s">
        <v>78</v>
      </c>
    </row>
    <row r="18" customFormat="false" ht="23.25" hidden="false" customHeight="true" outlineLevel="0" collapsed="false">
      <c r="A18" s="6" t="s">
        <v>79</v>
      </c>
      <c r="B18" s="6" t="s">
        <v>80</v>
      </c>
      <c r="C18" s="6" t="s">
        <v>26</v>
      </c>
      <c r="D18" s="6" t="s">
        <v>27</v>
      </c>
      <c r="E18" s="6" t="s">
        <v>37</v>
      </c>
      <c r="F18" s="6" t="s">
        <v>81</v>
      </c>
      <c r="G18" s="6" t="s">
        <v>81</v>
      </c>
      <c r="H18" s="7"/>
      <c r="I18" s="6" t="str">
        <f aca="false">IF(H18="","Not mapped","Mapped")</f>
        <v>Not mapped</v>
      </c>
      <c r="J18" s="6"/>
    </row>
    <row r="19" customFormat="false" ht="23.25" hidden="false" customHeight="true" outlineLevel="0" collapsed="false">
      <c r="A19" s="6" t="s">
        <v>82</v>
      </c>
      <c r="B19" s="6" t="s">
        <v>83</v>
      </c>
      <c r="C19" s="6" t="s">
        <v>26</v>
      </c>
      <c r="D19" s="6" t="s">
        <v>36</v>
      </c>
      <c r="E19" s="6" t="s">
        <v>37</v>
      </c>
      <c r="F19" s="6" t="s">
        <v>29</v>
      </c>
      <c r="G19" s="6" t="s">
        <v>29</v>
      </c>
      <c r="H19" s="7"/>
      <c r="I19" s="6" t="str">
        <f aca="false">IF(H19="","Not mapped","Mapped")</f>
        <v>Not mapped</v>
      </c>
      <c r="J19" s="6" t="s">
        <v>84</v>
      </c>
    </row>
    <row r="20" customFormat="false" ht="15" hidden="false" customHeight="true" outlineLevel="0" collapsed="false">
      <c r="A20" s="6" t="s">
        <v>85</v>
      </c>
      <c r="B20" s="6" t="s">
        <v>86</v>
      </c>
      <c r="C20" s="6" t="s">
        <v>26</v>
      </c>
      <c r="D20" s="6" t="s">
        <v>36</v>
      </c>
      <c r="E20" s="6" t="s">
        <v>37</v>
      </c>
      <c r="F20" s="6" t="s">
        <v>29</v>
      </c>
      <c r="G20" s="6" t="s">
        <v>29</v>
      </c>
      <c r="H20" s="7"/>
      <c r="I20" s="6" t="str">
        <f aca="false">IF(H20="","Not mapped","Mapped")</f>
        <v>Not mapped</v>
      </c>
      <c r="J20" s="6"/>
    </row>
    <row r="21" customFormat="false" ht="15" hidden="false" customHeight="true" outlineLevel="0" collapsed="false">
      <c r="A21" s="6" t="s">
        <v>87</v>
      </c>
      <c r="B21" s="6" t="s">
        <v>88</v>
      </c>
      <c r="C21" s="6" t="s">
        <v>26</v>
      </c>
      <c r="D21" s="6" t="s">
        <v>27</v>
      </c>
      <c r="E21" s="6" t="s">
        <v>37</v>
      </c>
      <c r="F21" s="6" t="s">
        <v>29</v>
      </c>
      <c r="G21" s="6" t="s">
        <v>29</v>
      </c>
      <c r="H21" s="7"/>
      <c r="I21" s="6" t="str">
        <f aca="false">IF(H21="","Not mapped","Mapped")</f>
        <v>Not mapped</v>
      </c>
      <c r="J21" s="6" t="s">
        <v>89</v>
      </c>
    </row>
    <row r="22" customFormat="false" ht="90.75" hidden="false" customHeight="true" outlineLevel="0" collapsed="false">
      <c r="A22" s="6" t="s">
        <v>90</v>
      </c>
      <c r="B22" s="6" t="s">
        <v>91</v>
      </c>
      <c r="C22" s="6" t="s">
        <v>26</v>
      </c>
      <c r="D22" s="6" t="s">
        <v>27</v>
      </c>
      <c r="E22" s="6" t="s">
        <v>37</v>
      </c>
      <c r="F22" s="6" t="s">
        <v>29</v>
      </c>
      <c r="G22" s="6" t="s">
        <v>29</v>
      </c>
      <c r="H22" s="7" t="s">
        <v>92</v>
      </c>
      <c r="I22" s="6" t="str">
        <f aca="false">IF(H22="","Not mapped","Mapped")</f>
        <v>Mapped</v>
      </c>
      <c r="J22" s="6"/>
    </row>
    <row r="23" customFormat="false" ht="57" hidden="false" customHeight="true" outlineLevel="0" collapsed="false">
      <c r="A23" s="6" t="s">
        <v>93</v>
      </c>
      <c r="B23" s="6" t="s">
        <v>94</v>
      </c>
      <c r="C23" s="6" t="s">
        <v>26</v>
      </c>
      <c r="D23" s="6" t="s">
        <v>27</v>
      </c>
      <c r="E23" s="6" t="s">
        <v>37</v>
      </c>
      <c r="F23" s="6" t="s">
        <v>29</v>
      </c>
      <c r="G23" s="6" t="s">
        <v>29</v>
      </c>
      <c r="H23" s="7" t="s">
        <v>95</v>
      </c>
      <c r="I23" s="6" t="str">
        <f aca="false">IF(H23="","Not mapped","Mapped")</f>
        <v>Mapped</v>
      </c>
      <c r="J23" s="6"/>
    </row>
    <row r="24" customFormat="false" ht="45.75" hidden="false" customHeight="true" outlineLevel="0" collapsed="false">
      <c r="A24" s="6" t="s">
        <v>96</v>
      </c>
      <c r="B24" s="6" t="s">
        <v>97</v>
      </c>
      <c r="C24" s="6" t="s">
        <v>26</v>
      </c>
      <c r="D24" s="6" t="s">
        <v>27</v>
      </c>
      <c r="E24" s="6" t="s">
        <v>28</v>
      </c>
      <c r="F24" s="6" t="s">
        <v>98</v>
      </c>
      <c r="G24" s="6" t="s">
        <v>29</v>
      </c>
      <c r="H24" s="7" t="s">
        <v>99</v>
      </c>
      <c r="I24" s="6" t="str">
        <f aca="false">IF(H24="","Not mapped","Mapped")</f>
        <v>Mapped</v>
      </c>
      <c r="J24" s="6"/>
    </row>
    <row r="25" customFormat="false" ht="23.25" hidden="false" customHeight="true" outlineLevel="0" collapsed="false">
      <c r="A25" s="6" t="s">
        <v>100</v>
      </c>
      <c r="B25" s="6" t="s">
        <v>101</v>
      </c>
      <c r="C25" s="6" t="s">
        <v>26</v>
      </c>
      <c r="D25" s="6" t="s">
        <v>36</v>
      </c>
      <c r="E25" s="6" t="s">
        <v>102</v>
      </c>
      <c r="F25" s="6" t="s">
        <v>29</v>
      </c>
      <c r="G25" s="6" t="s">
        <v>29</v>
      </c>
      <c r="H25" s="7"/>
      <c r="I25" s="6" t="str">
        <f aca="false">IF(H25="","Not mapped","Mapped")</f>
        <v>Not mapped</v>
      </c>
      <c r="J25" s="6" t="s">
        <v>84</v>
      </c>
    </row>
    <row r="26" customFormat="false" ht="23.25" hidden="false" customHeight="true" outlineLevel="0" collapsed="false">
      <c r="A26" s="6" t="s">
        <v>103</v>
      </c>
      <c r="B26" s="6" t="s">
        <v>104</v>
      </c>
      <c r="C26" s="6" t="s">
        <v>105</v>
      </c>
      <c r="D26" s="6" t="s">
        <v>27</v>
      </c>
      <c r="E26" s="6" t="s">
        <v>28</v>
      </c>
      <c r="F26" s="6" t="s">
        <v>29</v>
      </c>
      <c r="G26" s="6" t="s">
        <v>29</v>
      </c>
      <c r="H26" s="7" t="s">
        <v>106</v>
      </c>
      <c r="I26" s="6" t="str">
        <f aca="false">IF(H26="","Not mapped","Mapped")</f>
        <v>Mapped</v>
      </c>
      <c r="J26" s="6"/>
    </row>
    <row r="27" customFormat="false" ht="23.25" hidden="false" customHeight="true" outlineLevel="0" collapsed="false">
      <c r="A27" s="6" t="s">
        <v>107</v>
      </c>
      <c r="B27" s="6" t="s">
        <v>108</v>
      </c>
      <c r="C27" s="6" t="s">
        <v>105</v>
      </c>
      <c r="D27" s="6" t="s">
        <v>27</v>
      </c>
      <c r="E27" s="6" t="s">
        <v>41</v>
      </c>
      <c r="F27" s="6" t="s">
        <v>81</v>
      </c>
      <c r="G27" s="6" t="s">
        <v>81</v>
      </c>
      <c r="H27" s="7"/>
      <c r="I27" s="6" t="str">
        <f aca="false">IF(H27="","Not mapped","Mapped")</f>
        <v>Not mapped</v>
      </c>
      <c r="J27" s="6"/>
    </row>
    <row r="28" customFormat="false" ht="23.25" hidden="false" customHeight="true" outlineLevel="0" collapsed="false">
      <c r="A28" s="6" t="s">
        <v>109</v>
      </c>
      <c r="B28" s="6" t="s">
        <v>110</v>
      </c>
      <c r="C28" s="6" t="s">
        <v>105</v>
      </c>
      <c r="D28" s="6" t="s">
        <v>27</v>
      </c>
      <c r="E28" s="6" t="s">
        <v>41</v>
      </c>
      <c r="F28" s="6" t="s">
        <v>29</v>
      </c>
      <c r="G28" s="6" t="s">
        <v>29</v>
      </c>
      <c r="H28" s="7" t="s">
        <v>106</v>
      </c>
      <c r="I28" s="6" t="str">
        <f aca="false">IF(H28="","Not mapped","Mapped")</f>
        <v>Mapped</v>
      </c>
      <c r="J28" s="6"/>
    </row>
    <row r="29" customFormat="false" ht="15" hidden="false" customHeight="true" outlineLevel="0" collapsed="false">
      <c r="A29" s="6" t="s">
        <v>111</v>
      </c>
      <c r="B29" s="6" t="s">
        <v>112</v>
      </c>
      <c r="C29" s="6" t="s">
        <v>105</v>
      </c>
      <c r="D29" s="6" t="s">
        <v>27</v>
      </c>
      <c r="E29" s="6" t="s">
        <v>41</v>
      </c>
      <c r="F29" s="6" t="s">
        <v>29</v>
      </c>
      <c r="G29" s="6" t="s">
        <v>29</v>
      </c>
      <c r="H29" s="7" t="s">
        <v>113</v>
      </c>
      <c r="I29" s="6" t="str">
        <f aca="false">IF(H29="","Not mapped","Mapped")</f>
        <v>Mapped</v>
      </c>
      <c r="J29" s="6" t="s">
        <v>114</v>
      </c>
    </row>
    <row r="30" customFormat="false" ht="15" hidden="false" customHeight="true" outlineLevel="0" collapsed="false">
      <c r="A30" s="6" t="s">
        <v>115</v>
      </c>
      <c r="B30" s="6" t="s">
        <v>116</v>
      </c>
      <c r="C30" s="6" t="s">
        <v>105</v>
      </c>
      <c r="D30" s="6" t="s">
        <v>27</v>
      </c>
      <c r="E30" s="6" t="s">
        <v>41</v>
      </c>
      <c r="F30" s="6" t="s">
        <v>29</v>
      </c>
      <c r="G30" s="6" t="s">
        <v>29</v>
      </c>
      <c r="H30" s="7"/>
      <c r="I30" s="6" t="str">
        <f aca="false">IF(H30="","Not mapped","Mapped")</f>
        <v>Not mapped</v>
      </c>
      <c r="J30" s="6" t="s">
        <v>117</v>
      </c>
    </row>
    <row r="31" customFormat="false" ht="15" hidden="false" customHeight="true" outlineLevel="0" collapsed="false">
      <c r="A31" s="6" t="s">
        <v>118</v>
      </c>
      <c r="B31" s="6" t="s">
        <v>119</v>
      </c>
      <c r="C31" s="6" t="s">
        <v>105</v>
      </c>
      <c r="D31" s="6" t="s">
        <v>27</v>
      </c>
      <c r="E31" s="6" t="s">
        <v>37</v>
      </c>
      <c r="F31" s="6" t="s">
        <v>29</v>
      </c>
      <c r="G31" s="6" t="s">
        <v>29</v>
      </c>
      <c r="H31" s="7"/>
      <c r="I31" s="6" t="str">
        <f aca="false">IF(H31="","Not mapped","Mapped")</f>
        <v>Not mapped</v>
      </c>
      <c r="J31" s="6" t="s">
        <v>120</v>
      </c>
    </row>
    <row r="32" customFormat="false" ht="15" hidden="false" customHeight="true" outlineLevel="0" collapsed="false">
      <c r="A32" s="6" t="s">
        <v>121</v>
      </c>
      <c r="B32" s="6" t="s">
        <v>122</v>
      </c>
      <c r="C32" s="6" t="s">
        <v>105</v>
      </c>
      <c r="D32" s="6" t="s">
        <v>27</v>
      </c>
      <c r="E32" s="6" t="s">
        <v>37</v>
      </c>
      <c r="F32" s="6" t="s">
        <v>29</v>
      </c>
      <c r="G32" s="6" t="s">
        <v>29</v>
      </c>
      <c r="H32" s="7"/>
      <c r="I32" s="6" t="str">
        <f aca="false">IF(H32="","Not mapped","Mapped")</f>
        <v>Not mapped</v>
      </c>
      <c r="J32" s="6" t="s">
        <v>123</v>
      </c>
    </row>
    <row r="33" customFormat="false" ht="15" hidden="false" customHeight="true" outlineLevel="0" collapsed="false">
      <c r="A33" s="6" t="s">
        <v>124</v>
      </c>
      <c r="B33" s="6" t="s">
        <v>125</v>
      </c>
      <c r="C33" s="6" t="s">
        <v>105</v>
      </c>
      <c r="D33" s="6" t="s">
        <v>27</v>
      </c>
      <c r="E33" s="6" t="s">
        <v>41</v>
      </c>
      <c r="F33" s="6" t="s">
        <v>29</v>
      </c>
      <c r="G33" s="6" t="s">
        <v>29</v>
      </c>
      <c r="H33" s="7"/>
      <c r="I33" s="6" t="str">
        <f aca="false">IF(H33="","Not mapped","Mapped")</f>
        <v>Not mapped</v>
      </c>
      <c r="J33" s="6" t="s">
        <v>126</v>
      </c>
    </row>
    <row r="34" customFormat="false" ht="15" hidden="false" customHeight="true" outlineLevel="0" collapsed="false">
      <c r="A34" s="6" t="s">
        <v>127</v>
      </c>
      <c r="B34" s="6" t="s">
        <v>128</v>
      </c>
      <c r="C34" s="6" t="s">
        <v>105</v>
      </c>
      <c r="D34" s="6" t="s">
        <v>36</v>
      </c>
      <c r="E34" s="6" t="s">
        <v>37</v>
      </c>
      <c r="F34" s="6" t="s">
        <v>29</v>
      </c>
      <c r="G34" s="6" t="s">
        <v>29</v>
      </c>
      <c r="H34" s="7"/>
      <c r="I34" s="6" t="str">
        <f aca="false">IF(H34="","Not mapped","Mapped")</f>
        <v>Not mapped</v>
      </c>
      <c r="J34" s="6"/>
    </row>
    <row r="35" customFormat="false" ht="23.25" hidden="false" customHeight="true" outlineLevel="0" collapsed="false">
      <c r="A35" s="6" t="s">
        <v>129</v>
      </c>
      <c r="B35" s="6" t="s">
        <v>130</v>
      </c>
      <c r="C35" s="6" t="s">
        <v>105</v>
      </c>
      <c r="D35" s="6" t="s">
        <v>27</v>
      </c>
      <c r="E35" s="6" t="s">
        <v>37</v>
      </c>
      <c r="F35" s="6" t="s">
        <v>81</v>
      </c>
      <c r="G35" s="6" t="s">
        <v>81</v>
      </c>
      <c r="H35" s="7"/>
      <c r="I35" s="6" t="str">
        <f aca="false">IF(H35="","Not mapped","Mapped")</f>
        <v>Not mapped</v>
      </c>
      <c r="J35" s="6"/>
    </row>
    <row r="36" customFormat="false" ht="15" hidden="false" customHeight="true" outlineLevel="0" collapsed="false">
      <c r="A36" s="6" t="s">
        <v>131</v>
      </c>
      <c r="B36" s="6" t="s">
        <v>132</v>
      </c>
      <c r="C36" s="6" t="s">
        <v>105</v>
      </c>
      <c r="D36" s="6" t="s">
        <v>27</v>
      </c>
      <c r="E36" s="6" t="s">
        <v>37</v>
      </c>
      <c r="F36" s="6" t="s">
        <v>29</v>
      </c>
      <c r="G36" s="6" t="s">
        <v>29</v>
      </c>
      <c r="H36" s="7"/>
      <c r="I36" s="6" t="str">
        <f aca="false">IF(H36="","Not mapped","Mapped")</f>
        <v>Not mapped</v>
      </c>
      <c r="J36" s="6" t="s">
        <v>133</v>
      </c>
    </row>
    <row r="37" customFormat="false" ht="23.25" hidden="false" customHeight="true" outlineLevel="0" collapsed="false">
      <c r="A37" s="6" t="s">
        <v>134</v>
      </c>
      <c r="B37" s="6" t="s">
        <v>135</v>
      </c>
      <c r="C37" s="6" t="s">
        <v>105</v>
      </c>
      <c r="D37" s="6" t="s">
        <v>27</v>
      </c>
      <c r="E37" s="6" t="s">
        <v>37</v>
      </c>
      <c r="F37" s="6" t="s">
        <v>81</v>
      </c>
      <c r="G37" s="6" t="s">
        <v>81</v>
      </c>
      <c r="H37" s="7"/>
      <c r="I37" s="6" t="str">
        <f aca="false">IF(H37="","Not mapped","Mapped")</f>
        <v>Not mapped</v>
      </c>
      <c r="J37" s="6"/>
    </row>
    <row r="38" customFormat="false" ht="15" hidden="false" customHeight="true" outlineLevel="0" collapsed="false">
      <c r="A38" s="6" t="s">
        <v>136</v>
      </c>
      <c r="B38" s="6" t="s">
        <v>137</v>
      </c>
      <c r="C38" s="6" t="s">
        <v>105</v>
      </c>
      <c r="D38" s="6" t="s">
        <v>27</v>
      </c>
      <c r="E38" s="6" t="s">
        <v>37</v>
      </c>
      <c r="F38" s="6" t="s">
        <v>29</v>
      </c>
      <c r="G38" s="6" t="s">
        <v>29</v>
      </c>
      <c r="H38" s="7"/>
      <c r="I38" s="6" t="str">
        <f aca="false">IF(H38="","Not mapped","Mapped")</f>
        <v>Not mapped</v>
      </c>
      <c r="J38" s="6" t="s">
        <v>138</v>
      </c>
    </row>
    <row r="39" customFormat="false" ht="45.75" hidden="false" customHeight="true" outlineLevel="0" collapsed="false">
      <c r="A39" s="6" t="s">
        <v>139</v>
      </c>
      <c r="B39" s="6" t="s">
        <v>140</v>
      </c>
      <c r="C39" s="6" t="s">
        <v>105</v>
      </c>
      <c r="D39" s="6" t="s">
        <v>27</v>
      </c>
      <c r="E39" s="6" t="s">
        <v>41</v>
      </c>
      <c r="F39" s="6" t="s">
        <v>29</v>
      </c>
      <c r="G39" s="6" t="s">
        <v>29</v>
      </c>
      <c r="H39" s="7" t="s">
        <v>141</v>
      </c>
      <c r="I39" s="6" t="str">
        <f aca="false">IF(H39="","Not mapped","Mapped")</f>
        <v>Mapped</v>
      </c>
      <c r="J39" s="6"/>
    </row>
    <row r="40" customFormat="false" ht="15" hidden="false" customHeight="true" outlineLevel="0" collapsed="false">
      <c r="A40" s="6" t="s">
        <v>142</v>
      </c>
      <c r="B40" s="6" t="s">
        <v>143</v>
      </c>
      <c r="C40" s="6" t="s">
        <v>105</v>
      </c>
      <c r="D40" s="6" t="s">
        <v>27</v>
      </c>
      <c r="E40" s="6" t="s">
        <v>37</v>
      </c>
      <c r="F40" s="6" t="s">
        <v>29</v>
      </c>
      <c r="G40" s="6" t="s">
        <v>29</v>
      </c>
      <c r="H40" s="7"/>
      <c r="I40" s="6" t="str">
        <f aca="false">IF(H40="","Not mapped","Mapped")</f>
        <v>Not mapped</v>
      </c>
      <c r="J40" s="6" t="s">
        <v>144</v>
      </c>
    </row>
    <row r="41" customFormat="false" ht="23.25" hidden="false" customHeight="true" outlineLevel="0" collapsed="false">
      <c r="A41" s="6" t="s">
        <v>145</v>
      </c>
      <c r="B41" s="6" t="s">
        <v>146</v>
      </c>
      <c r="C41" s="6" t="s">
        <v>105</v>
      </c>
      <c r="D41" s="6" t="s">
        <v>27</v>
      </c>
      <c r="E41" s="6" t="s">
        <v>37</v>
      </c>
      <c r="F41" s="6" t="s">
        <v>81</v>
      </c>
      <c r="G41" s="6" t="s">
        <v>81</v>
      </c>
      <c r="H41" s="7"/>
      <c r="I41" s="6" t="str">
        <f aca="false">IF(H41="","Not mapped","Mapped")</f>
        <v>Not mapped</v>
      </c>
      <c r="J41" s="6"/>
    </row>
    <row r="42" customFormat="false" ht="15" hidden="false" customHeight="true" outlineLevel="0" collapsed="false">
      <c r="A42" s="6" t="s">
        <v>147</v>
      </c>
      <c r="B42" s="6" t="s">
        <v>148</v>
      </c>
      <c r="C42" s="6" t="s">
        <v>105</v>
      </c>
      <c r="D42" s="6" t="s">
        <v>36</v>
      </c>
      <c r="E42" s="6" t="s">
        <v>37</v>
      </c>
      <c r="F42" s="6" t="s">
        <v>29</v>
      </c>
      <c r="G42" s="6" t="s">
        <v>29</v>
      </c>
      <c r="H42" s="7"/>
      <c r="I42" s="6" t="str">
        <f aca="false">IF(H42="","Not mapped","Mapped")</f>
        <v>Not mapped</v>
      </c>
      <c r="J42" s="6"/>
    </row>
    <row r="43" customFormat="false" ht="23.25" hidden="false" customHeight="true" outlineLevel="0" collapsed="false">
      <c r="A43" s="6" t="s">
        <v>149</v>
      </c>
      <c r="B43" s="6" t="s">
        <v>150</v>
      </c>
      <c r="C43" s="6" t="s">
        <v>105</v>
      </c>
      <c r="D43" s="6" t="s">
        <v>36</v>
      </c>
      <c r="E43" s="6" t="s">
        <v>41</v>
      </c>
      <c r="F43" s="6" t="s">
        <v>81</v>
      </c>
      <c r="G43" s="6" t="s">
        <v>81</v>
      </c>
      <c r="H43" s="7"/>
      <c r="I43" s="6" t="str">
        <f aca="false">IF(H43="","Not mapped","Mapped")</f>
        <v>Not mapped</v>
      </c>
      <c r="J43" s="6"/>
    </row>
    <row r="44" customFormat="false" ht="15" hidden="false" customHeight="true" outlineLevel="0" collapsed="false">
      <c r="A44" s="6" t="s">
        <v>151</v>
      </c>
      <c r="B44" s="6" t="s">
        <v>152</v>
      </c>
      <c r="C44" s="6" t="s">
        <v>105</v>
      </c>
      <c r="D44" s="6" t="s">
        <v>27</v>
      </c>
      <c r="E44" s="6" t="s">
        <v>37</v>
      </c>
      <c r="F44" s="6" t="s">
        <v>29</v>
      </c>
      <c r="G44" s="6" t="s">
        <v>29</v>
      </c>
      <c r="H44" s="7"/>
      <c r="I44" s="6" t="str">
        <f aca="false">IF(H44="","Not mapped","Mapped")</f>
        <v>Not mapped</v>
      </c>
      <c r="J44" s="6" t="s">
        <v>153</v>
      </c>
    </row>
    <row r="45" customFormat="false" ht="15" hidden="false" customHeight="true" outlineLevel="0" collapsed="false">
      <c r="A45" s="6" t="s">
        <v>154</v>
      </c>
      <c r="B45" s="6" t="s">
        <v>155</v>
      </c>
      <c r="C45" s="6" t="s">
        <v>105</v>
      </c>
      <c r="D45" s="6" t="s">
        <v>36</v>
      </c>
      <c r="E45" s="6" t="s">
        <v>37</v>
      </c>
      <c r="F45" s="6" t="s">
        <v>29</v>
      </c>
      <c r="G45" s="6" t="s">
        <v>29</v>
      </c>
      <c r="H45" s="7"/>
      <c r="I45" s="6" t="str">
        <f aca="false">IF(H45="","Not mapped","Mapped")</f>
        <v>Not mapped</v>
      </c>
      <c r="J45" s="6"/>
    </row>
    <row r="46" customFormat="false" ht="15" hidden="false" customHeight="true" outlineLevel="0" collapsed="false">
      <c r="A46" s="6" t="s">
        <v>156</v>
      </c>
      <c r="B46" s="6" t="s">
        <v>157</v>
      </c>
      <c r="C46" s="6" t="s">
        <v>105</v>
      </c>
      <c r="D46" s="6" t="s">
        <v>27</v>
      </c>
      <c r="E46" s="6" t="s">
        <v>37</v>
      </c>
      <c r="F46" s="6" t="s">
        <v>29</v>
      </c>
      <c r="G46" s="6" t="s">
        <v>29</v>
      </c>
      <c r="H46" s="7"/>
      <c r="I46" s="6" t="str">
        <f aca="false">IF(H46="","Not mapped","Mapped")</f>
        <v>Not mapped</v>
      </c>
      <c r="J46" s="6" t="s">
        <v>158</v>
      </c>
    </row>
    <row r="47" customFormat="false" ht="23.25" hidden="false" customHeight="true" outlineLevel="0" collapsed="false">
      <c r="A47" s="6" t="s">
        <v>159</v>
      </c>
      <c r="B47" s="6" t="s">
        <v>160</v>
      </c>
      <c r="C47" s="6" t="s">
        <v>105</v>
      </c>
      <c r="D47" s="6" t="s">
        <v>27</v>
      </c>
      <c r="E47" s="6" t="s">
        <v>37</v>
      </c>
      <c r="F47" s="6" t="s">
        <v>81</v>
      </c>
      <c r="G47" s="6" t="s">
        <v>81</v>
      </c>
      <c r="H47" s="7"/>
      <c r="I47" s="6" t="str">
        <f aca="false">IF(H47="","Not mapped","Mapped")</f>
        <v>Not mapped</v>
      </c>
      <c r="J47" s="6"/>
    </row>
    <row r="48" customFormat="false" ht="15" hidden="false" customHeight="true" outlineLevel="0" collapsed="false">
      <c r="A48" s="6" t="s">
        <v>161</v>
      </c>
      <c r="B48" s="6" t="s">
        <v>162</v>
      </c>
      <c r="C48" s="6" t="s">
        <v>105</v>
      </c>
      <c r="D48" s="6" t="s">
        <v>27</v>
      </c>
      <c r="E48" s="6" t="s">
        <v>37</v>
      </c>
      <c r="F48" s="6" t="s">
        <v>29</v>
      </c>
      <c r="G48" s="6" t="s">
        <v>29</v>
      </c>
      <c r="H48" s="7"/>
      <c r="I48" s="6" t="str">
        <f aca="false">IF(H48="","Not mapped","Mapped")</f>
        <v>Not mapped</v>
      </c>
      <c r="J48" s="6" t="s">
        <v>163</v>
      </c>
    </row>
    <row r="49" customFormat="false" ht="15" hidden="false" customHeight="true" outlineLevel="0" collapsed="false">
      <c r="A49" s="6" t="s">
        <v>164</v>
      </c>
      <c r="B49" s="6" t="s">
        <v>165</v>
      </c>
      <c r="C49" s="6" t="s">
        <v>105</v>
      </c>
      <c r="D49" s="6" t="s">
        <v>36</v>
      </c>
      <c r="E49" s="6" t="s">
        <v>37</v>
      </c>
      <c r="F49" s="6" t="s">
        <v>29</v>
      </c>
      <c r="G49" s="6" t="s">
        <v>29</v>
      </c>
      <c r="H49" s="7"/>
      <c r="I49" s="6" t="str">
        <f aca="false">IF(H49="","Not mapped","Mapped")</f>
        <v>Not mapped</v>
      </c>
      <c r="J49" s="6"/>
    </row>
    <row r="50" customFormat="false" ht="34.5" hidden="false" customHeight="true" outlineLevel="0" collapsed="false">
      <c r="A50" s="6" t="s">
        <v>166</v>
      </c>
      <c r="B50" s="6" t="s">
        <v>167</v>
      </c>
      <c r="C50" s="6" t="s">
        <v>105</v>
      </c>
      <c r="D50" s="6" t="s">
        <v>27</v>
      </c>
      <c r="E50" s="6" t="s">
        <v>41</v>
      </c>
      <c r="F50" s="6" t="s">
        <v>81</v>
      </c>
      <c r="G50" s="6" t="s">
        <v>81</v>
      </c>
      <c r="H50" s="7" t="s">
        <v>168</v>
      </c>
      <c r="I50" s="6" t="str">
        <f aca="false">IF(H50="","Not mapped","Mapped")</f>
        <v>Mapped</v>
      </c>
      <c r="J50" s="6"/>
    </row>
    <row r="51" customFormat="false" ht="23.25" hidden="false" customHeight="true" outlineLevel="0" collapsed="false">
      <c r="A51" s="6" t="s">
        <v>169</v>
      </c>
      <c r="B51" s="6" t="s">
        <v>170</v>
      </c>
      <c r="C51" s="6" t="s">
        <v>105</v>
      </c>
      <c r="D51" s="6" t="s">
        <v>27</v>
      </c>
      <c r="E51" s="6" t="s">
        <v>41</v>
      </c>
      <c r="F51" s="6" t="s">
        <v>81</v>
      </c>
      <c r="G51" s="6" t="s">
        <v>81</v>
      </c>
      <c r="H51" s="7"/>
      <c r="I51" s="6" t="str">
        <f aca="false">IF(H51="","Not mapped","Mapped")</f>
        <v>Not mapped</v>
      </c>
      <c r="J51" s="6"/>
    </row>
    <row r="52" customFormat="false" ht="34.5" hidden="false" customHeight="true" outlineLevel="0" collapsed="false">
      <c r="A52" s="6" t="s">
        <v>171</v>
      </c>
      <c r="B52" s="6" t="s">
        <v>172</v>
      </c>
      <c r="C52" s="6" t="s">
        <v>105</v>
      </c>
      <c r="D52" s="6" t="s">
        <v>27</v>
      </c>
      <c r="E52" s="6" t="s">
        <v>37</v>
      </c>
      <c r="F52" s="6" t="s">
        <v>29</v>
      </c>
      <c r="G52" s="6" t="s">
        <v>29</v>
      </c>
      <c r="H52" s="7" t="s">
        <v>168</v>
      </c>
      <c r="I52" s="6" t="str">
        <f aca="false">IF(H52="","Not mapped","Mapped")</f>
        <v>Mapped</v>
      </c>
      <c r="J52" s="6"/>
    </row>
    <row r="53" customFormat="false" ht="15" hidden="false" customHeight="true" outlineLevel="0" collapsed="false">
      <c r="A53" s="6" t="s">
        <v>173</v>
      </c>
      <c r="B53" s="6" t="s">
        <v>174</v>
      </c>
      <c r="C53" s="6" t="s">
        <v>105</v>
      </c>
      <c r="D53" s="6" t="s">
        <v>27</v>
      </c>
      <c r="E53" s="6" t="s">
        <v>37</v>
      </c>
      <c r="F53" s="6" t="s">
        <v>29</v>
      </c>
      <c r="G53" s="6" t="s">
        <v>29</v>
      </c>
      <c r="H53" s="7"/>
      <c r="I53" s="6" t="str">
        <f aca="false">IF(H53="","Not mapped","Mapped")</f>
        <v>Not mapped</v>
      </c>
      <c r="J53" s="6" t="s">
        <v>175</v>
      </c>
    </row>
    <row r="54" customFormat="false" ht="34.5" hidden="false" customHeight="true" outlineLevel="0" collapsed="false">
      <c r="A54" s="6" t="s">
        <v>176</v>
      </c>
      <c r="B54" s="6" t="s">
        <v>177</v>
      </c>
      <c r="C54" s="6" t="s">
        <v>105</v>
      </c>
      <c r="D54" s="6" t="s">
        <v>27</v>
      </c>
      <c r="E54" s="6" t="s">
        <v>37</v>
      </c>
      <c r="F54" s="6" t="s">
        <v>29</v>
      </c>
      <c r="G54" s="6" t="s">
        <v>29</v>
      </c>
      <c r="H54" s="7" t="s">
        <v>168</v>
      </c>
      <c r="I54" s="6" t="str">
        <f aca="false">IF(H54="","Not mapped","Mapped")</f>
        <v>Mapped</v>
      </c>
      <c r="J54" s="6"/>
    </row>
    <row r="55" customFormat="false" ht="34.5" hidden="false" customHeight="true" outlineLevel="0" collapsed="false">
      <c r="A55" s="6" t="s">
        <v>178</v>
      </c>
      <c r="B55" s="6" t="s">
        <v>179</v>
      </c>
      <c r="C55" s="6" t="s">
        <v>105</v>
      </c>
      <c r="D55" s="6" t="s">
        <v>36</v>
      </c>
      <c r="E55" s="6" t="s">
        <v>37</v>
      </c>
      <c r="F55" s="6" t="s">
        <v>29</v>
      </c>
      <c r="G55" s="6" t="s">
        <v>29</v>
      </c>
      <c r="H55" s="7" t="s">
        <v>168</v>
      </c>
      <c r="I55" s="6" t="str">
        <f aca="false">IF(H55="","Not mapped","Mapped")</f>
        <v>Mapped</v>
      </c>
      <c r="J55" s="6"/>
    </row>
    <row r="56" customFormat="false" ht="34.5" hidden="false" customHeight="true" outlineLevel="0" collapsed="false">
      <c r="A56" s="6" t="s">
        <v>180</v>
      </c>
      <c r="B56" s="6" t="s">
        <v>181</v>
      </c>
      <c r="C56" s="6" t="s">
        <v>105</v>
      </c>
      <c r="D56" s="6" t="s">
        <v>27</v>
      </c>
      <c r="E56" s="6" t="s">
        <v>41</v>
      </c>
      <c r="F56" s="6" t="s">
        <v>29</v>
      </c>
      <c r="G56" s="6" t="s">
        <v>29</v>
      </c>
      <c r="H56" s="7" t="s">
        <v>168</v>
      </c>
      <c r="I56" s="6" t="str">
        <f aca="false">IF(H56="","Not mapped","Mapped")</f>
        <v>Mapped</v>
      </c>
      <c r="J56" s="6"/>
    </row>
    <row r="57" customFormat="false" ht="15" hidden="false" customHeight="true" outlineLevel="0" collapsed="false">
      <c r="A57" s="6" t="s">
        <v>182</v>
      </c>
      <c r="B57" s="6" t="s">
        <v>183</v>
      </c>
      <c r="C57" s="6" t="s">
        <v>105</v>
      </c>
      <c r="D57" s="6" t="s">
        <v>36</v>
      </c>
      <c r="E57" s="6" t="s">
        <v>102</v>
      </c>
      <c r="F57" s="6" t="s">
        <v>29</v>
      </c>
      <c r="G57" s="6" t="s">
        <v>29</v>
      </c>
      <c r="H57" s="7"/>
      <c r="I57" s="6" t="str">
        <f aca="false">IF(H57="","Not mapped","Mapped")</f>
        <v>Not mapped</v>
      </c>
      <c r="J57" s="6"/>
    </row>
    <row r="58" customFormat="false" ht="57" hidden="false" customHeight="true" outlineLevel="0" collapsed="false">
      <c r="A58" s="6" t="s">
        <v>184</v>
      </c>
      <c r="B58" s="6" t="s">
        <v>185</v>
      </c>
      <c r="C58" s="6" t="s">
        <v>105</v>
      </c>
      <c r="D58" s="6" t="s">
        <v>27</v>
      </c>
      <c r="E58" s="6" t="s">
        <v>37</v>
      </c>
      <c r="F58" s="6" t="s">
        <v>29</v>
      </c>
      <c r="G58" s="6" t="s">
        <v>29</v>
      </c>
      <c r="H58" s="7" t="s">
        <v>186</v>
      </c>
      <c r="I58" s="6" t="str">
        <f aca="false">IF(H58="","Not mapped","Mapped")</f>
        <v>Mapped</v>
      </c>
      <c r="J58" s="6"/>
    </row>
    <row r="59" customFormat="false" ht="15" hidden="false" customHeight="true" outlineLevel="0" collapsed="false">
      <c r="A59" s="6" t="s">
        <v>187</v>
      </c>
      <c r="B59" s="6" t="s">
        <v>188</v>
      </c>
      <c r="C59" s="6" t="s">
        <v>105</v>
      </c>
      <c r="D59" s="6" t="s">
        <v>27</v>
      </c>
      <c r="E59" s="6" t="s">
        <v>37</v>
      </c>
      <c r="F59" s="6" t="s">
        <v>29</v>
      </c>
      <c r="G59" s="6" t="s">
        <v>29</v>
      </c>
      <c r="H59" s="7"/>
      <c r="I59" s="6" t="str">
        <f aca="false">IF(H59="","Not mapped","Mapped")</f>
        <v>Not mapped</v>
      </c>
      <c r="J59" s="6" t="s">
        <v>189</v>
      </c>
    </row>
    <row r="60" customFormat="false" ht="34.5" hidden="false" customHeight="true" outlineLevel="0" collapsed="false">
      <c r="A60" s="6" t="s">
        <v>190</v>
      </c>
      <c r="B60" s="6" t="s">
        <v>191</v>
      </c>
      <c r="C60" s="6" t="s">
        <v>105</v>
      </c>
      <c r="D60" s="6" t="s">
        <v>27</v>
      </c>
      <c r="E60" s="6" t="s">
        <v>37</v>
      </c>
      <c r="F60" s="6" t="s">
        <v>29</v>
      </c>
      <c r="G60" s="6" t="s">
        <v>29</v>
      </c>
      <c r="H60" s="7" t="s">
        <v>168</v>
      </c>
      <c r="I60" s="6" t="str">
        <f aca="false">IF(H60="","Not mapped","Mapped")</f>
        <v>Mapped</v>
      </c>
      <c r="J60" s="6"/>
    </row>
    <row r="61" customFormat="false" ht="34.5" hidden="false" customHeight="true" outlineLevel="0" collapsed="false">
      <c r="A61" s="6" t="s">
        <v>192</v>
      </c>
      <c r="B61" s="6" t="s">
        <v>193</v>
      </c>
      <c r="C61" s="6" t="s">
        <v>105</v>
      </c>
      <c r="D61" s="6" t="s">
        <v>27</v>
      </c>
      <c r="E61" s="6" t="s">
        <v>37</v>
      </c>
      <c r="F61" s="6" t="s">
        <v>29</v>
      </c>
      <c r="G61" s="6" t="s">
        <v>29</v>
      </c>
      <c r="H61" s="7" t="s">
        <v>168</v>
      </c>
      <c r="I61" s="6" t="str">
        <f aca="false">IF(H61="","Not mapped","Mapped")</f>
        <v>Mapped</v>
      </c>
      <c r="J61" s="6"/>
    </row>
    <row r="62" customFormat="false" ht="23.25" hidden="false" customHeight="true" outlineLevel="0" collapsed="false">
      <c r="A62" s="6" t="s">
        <v>194</v>
      </c>
      <c r="B62" s="6" t="s">
        <v>195</v>
      </c>
      <c r="C62" s="6" t="s">
        <v>105</v>
      </c>
      <c r="D62" s="6" t="s">
        <v>36</v>
      </c>
      <c r="E62" s="6" t="s">
        <v>37</v>
      </c>
      <c r="F62" s="6" t="s">
        <v>81</v>
      </c>
      <c r="G62" s="6" t="s">
        <v>81</v>
      </c>
      <c r="H62" s="7"/>
      <c r="I62" s="6" t="str">
        <f aca="false">IF(H62="","Not mapped","Mapped")</f>
        <v>Not mapped</v>
      </c>
      <c r="J62" s="6"/>
    </row>
    <row r="63" customFormat="false" ht="15" hidden="false" customHeight="true" outlineLevel="0" collapsed="false">
      <c r="A63" s="6" t="s">
        <v>196</v>
      </c>
      <c r="B63" s="6" t="s">
        <v>197</v>
      </c>
      <c r="C63" s="6" t="s">
        <v>105</v>
      </c>
      <c r="D63" s="6" t="s">
        <v>27</v>
      </c>
      <c r="E63" s="6" t="s">
        <v>37</v>
      </c>
      <c r="F63" s="6" t="s">
        <v>29</v>
      </c>
      <c r="G63" s="6" t="s">
        <v>29</v>
      </c>
      <c r="H63" s="7"/>
      <c r="I63" s="6" t="str">
        <f aca="false">IF(H63="","Not mapped","Mapped")</f>
        <v>Not mapped</v>
      </c>
      <c r="J63" s="6" t="s">
        <v>198</v>
      </c>
    </row>
    <row r="64" customFormat="false" ht="15" hidden="false" customHeight="true" outlineLevel="0" collapsed="false">
      <c r="A64" s="6" t="s">
        <v>199</v>
      </c>
      <c r="B64" s="6" t="s">
        <v>200</v>
      </c>
      <c r="C64" s="6" t="s">
        <v>105</v>
      </c>
      <c r="D64" s="6" t="s">
        <v>27</v>
      </c>
      <c r="E64" s="6" t="s">
        <v>37</v>
      </c>
      <c r="F64" s="6" t="s">
        <v>29</v>
      </c>
      <c r="G64" s="6" t="s">
        <v>29</v>
      </c>
      <c r="H64" s="7"/>
      <c r="I64" s="6" t="str">
        <f aca="false">IF(H64="","Not mapped","Mapped")</f>
        <v>Not mapped</v>
      </c>
      <c r="J64" s="6" t="s">
        <v>201</v>
      </c>
    </row>
    <row r="65" customFormat="false" ht="34.5" hidden="false" customHeight="true" outlineLevel="0" collapsed="false">
      <c r="A65" s="6" t="s">
        <v>202</v>
      </c>
      <c r="B65" s="6" t="s">
        <v>203</v>
      </c>
      <c r="C65" s="6" t="s">
        <v>105</v>
      </c>
      <c r="D65" s="6" t="s">
        <v>27</v>
      </c>
      <c r="E65" s="6" t="s">
        <v>37</v>
      </c>
      <c r="F65" s="6" t="s">
        <v>29</v>
      </c>
      <c r="G65" s="6" t="s">
        <v>29</v>
      </c>
      <c r="H65" s="7" t="s">
        <v>168</v>
      </c>
      <c r="I65" s="6" t="str">
        <f aca="false">IF(H65="","Not mapped","Mapped")</f>
        <v>Mapped</v>
      </c>
      <c r="J65" s="6"/>
    </row>
    <row r="66" customFormat="false" ht="15" hidden="false" customHeight="true" outlineLevel="0" collapsed="false">
      <c r="A66" s="6" t="s">
        <v>204</v>
      </c>
      <c r="B66" s="6" t="s">
        <v>205</v>
      </c>
      <c r="C66" s="6" t="s">
        <v>105</v>
      </c>
      <c r="D66" s="6" t="s">
        <v>27</v>
      </c>
      <c r="E66" s="6" t="s">
        <v>37</v>
      </c>
      <c r="F66" s="6" t="s">
        <v>29</v>
      </c>
      <c r="G66" s="6" t="s">
        <v>29</v>
      </c>
      <c r="H66" s="7"/>
      <c r="I66" s="6" t="str">
        <f aca="false">IF(H66="","Not mapped","Mapped")</f>
        <v>Not mapped</v>
      </c>
      <c r="J66" s="6" t="s">
        <v>206</v>
      </c>
    </row>
    <row r="67" customFormat="false" ht="15" hidden="false" customHeight="true" outlineLevel="0" collapsed="false">
      <c r="A67" s="6" t="s">
        <v>207</v>
      </c>
      <c r="B67" s="6" t="s">
        <v>208</v>
      </c>
      <c r="C67" s="6" t="s">
        <v>105</v>
      </c>
      <c r="D67" s="6" t="s">
        <v>36</v>
      </c>
      <c r="E67" s="6" t="s">
        <v>37</v>
      </c>
      <c r="F67" s="6" t="s">
        <v>29</v>
      </c>
      <c r="G67" s="6" t="s">
        <v>29</v>
      </c>
      <c r="H67" s="7"/>
      <c r="I67" s="6" t="str">
        <f aca="false">IF(H67="","Not mapped","Mapped")</f>
        <v>Not mapped</v>
      </c>
      <c r="J67" s="6"/>
    </row>
    <row r="68" customFormat="false" ht="15" hidden="false" customHeight="true" outlineLevel="0" collapsed="false">
      <c r="A68" s="6" t="s">
        <v>209</v>
      </c>
      <c r="B68" s="6" t="s">
        <v>210</v>
      </c>
      <c r="C68" s="6" t="s">
        <v>105</v>
      </c>
      <c r="D68" s="6" t="s">
        <v>36</v>
      </c>
      <c r="E68" s="6" t="s">
        <v>102</v>
      </c>
      <c r="F68" s="6" t="s">
        <v>29</v>
      </c>
      <c r="G68" s="6" t="s">
        <v>29</v>
      </c>
      <c r="H68" s="7"/>
      <c r="I68" s="6" t="str">
        <f aca="false">IF(H68="","Not mapped","Mapped")</f>
        <v>Not mapped</v>
      </c>
      <c r="J68" s="6"/>
    </row>
    <row r="69" customFormat="false" ht="15" hidden="false" customHeight="true" outlineLevel="0" collapsed="false">
      <c r="A69" s="6" t="s">
        <v>211</v>
      </c>
      <c r="B69" s="6" t="s">
        <v>212</v>
      </c>
      <c r="C69" s="6" t="s">
        <v>105</v>
      </c>
      <c r="D69" s="6" t="s">
        <v>27</v>
      </c>
      <c r="E69" s="6" t="s">
        <v>37</v>
      </c>
      <c r="F69" s="6" t="s">
        <v>29</v>
      </c>
      <c r="G69" s="6" t="s">
        <v>29</v>
      </c>
      <c r="H69" s="7"/>
      <c r="I69" s="6" t="str">
        <f aca="false">IF(H69="","Not mapped","Mapped")</f>
        <v>Not mapped</v>
      </c>
      <c r="J69" s="6" t="s">
        <v>213</v>
      </c>
    </row>
    <row r="70" customFormat="false" ht="15" hidden="false" customHeight="true" outlineLevel="0" collapsed="false">
      <c r="A70" s="6" t="s">
        <v>214</v>
      </c>
      <c r="B70" s="6" t="s">
        <v>215</v>
      </c>
      <c r="C70" s="6" t="s">
        <v>105</v>
      </c>
      <c r="D70" s="6" t="s">
        <v>27</v>
      </c>
      <c r="E70" s="6" t="s">
        <v>37</v>
      </c>
      <c r="F70" s="6" t="s">
        <v>29</v>
      </c>
      <c r="G70" s="6" t="s">
        <v>29</v>
      </c>
      <c r="H70" s="7"/>
      <c r="I70" s="6" t="str">
        <f aca="false">IF(H70="","Not mapped","Mapped")</f>
        <v>Not mapped</v>
      </c>
      <c r="J70" s="6" t="s">
        <v>213</v>
      </c>
    </row>
    <row r="71" customFormat="false" ht="15" hidden="false" customHeight="true" outlineLevel="0" collapsed="false">
      <c r="A71" s="6" t="s">
        <v>216</v>
      </c>
      <c r="B71" s="6" t="s">
        <v>217</v>
      </c>
      <c r="C71" s="6" t="s">
        <v>105</v>
      </c>
      <c r="D71" s="6" t="s">
        <v>218</v>
      </c>
      <c r="E71" s="6" t="s">
        <v>102</v>
      </c>
      <c r="F71" s="6" t="s">
        <v>29</v>
      </c>
      <c r="G71" s="6" t="s">
        <v>29</v>
      </c>
      <c r="H71" s="7"/>
      <c r="I71" s="6" t="str">
        <f aca="false">IF(H71="","Not mapped","Mapped")</f>
        <v>Not mapped</v>
      </c>
      <c r="J71" s="6" t="s">
        <v>38</v>
      </c>
    </row>
    <row r="72" customFormat="false" ht="15" hidden="false" customHeight="true" outlineLevel="0" collapsed="false">
      <c r="A72" s="6" t="s">
        <v>219</v>
      </c>
      <c r="B72" s="6" t="s">
        <v>220</v>
      </c>
      <c r="C72" s="6" t="s">
        <v>105</v>
      </c>
      <c r="D72" s="6" t="s">
        <v>27</v>
      </c>
      <c r="E72" s="6" t="s">
        <v>37</v>
      </c>
      <c r="F72" s="6" t="s">
        <v>29</v>
      </c>
      <c r="G72" s="6" t="s">
        <v>29</v>
      </c>
      <c r="H72" s="7"/>
      <c r="I72" s="6" t="str">
        <f aca="false">IF(H72="","Not mapped","Mapped")</f>
        <v>Not mapped</v>
      </c>
      <c r="J72" s="6" t="s">
        <v>221</v>
      </c>
    </row>
    <row r="73" customFormat="false" ht="15" hidden="false" customHeight="true" outlineLevel="0" collapsed="false">
      <c r="A73" s="6" t="s">
        <v>222</v>
      </c>
      <c r="B73" s="6" t="s">
        <v>223</v>
      </c>
      <c r="C73" s="6" t="s">
        <v>105</v>
      </c>
      <c r="D73" s="6" t="s">
        <v>36</v>
      </c>
      <c r="E73" s="6" t="s">
        <v>37</v>
      </c>
      <c r="F73" s="6" t="s">
        <v>29</v>
      </c>
      <c r="G73" s="6" t="s">
        <v>29</v>
      </c>
      <c r="H73" s="7"/>
      <c r="I73" s="6" t="str">
        <f aca="false">IF(H73="","Not mapped","Mapped")</f>
        <v>Not mapped</v>
      </c>
      <c r="J73" s="6"/>
    </row>
    <row r="74" customFormat="false" ht="15" hidden="false" customHeight="true" outlineLevel="0" collapsed="false">
      <c r="A74" s="6" t="s">
        <v>224</v>
      </c>
      <c r="B74" s="6" t="s">
        <v>225</v>
      </c>
      <c r="C74" s="6" t="s">
        <v>105</v>
      </c>
      <c r="D74" s="6" t="s">
        <v>27</v>
      </c>
      <c r="E74" s="6" t="s">
        <v>37</v>
      </c>
      <c r="F74" s="6" t="s">
        <v>226</v>
      </c>
      <c r="G74" s="6" t="s">
        <v>226</v>
      </c>
      <c r="H74" s="7"/>
      <c r="I74" s="6" t="str">
        <f aca="false">IF(H74="","Not mapped","Mapped")</f>
        <v>Not mapped</v>
      </c>
      <c r="J74" s="6"/>
    </row>
    <row r="75" customFormat="false" ht="23.25" hidden="false" customHeight="true" outlineLevel="0" collapsed="false">
      <c r="A75" s="6" t="s">
        <v>227</v>
      </c>
      <c r="B75" s="6" t="s">
        <v>228</v>
      </c>
      <c r="C75" s="6" t="s">
        <v>105</v>
      </c>
      <c r="D75" s="6" t="s">
        <v>36</v>
      </c>
      <c r="E75" s="6" t="s">
        <v>37</v>
      </c>
      <c r="F75" s="6" t="s">
        <v>81</v>
      </c>
      <c r="G75" s="6" t="s">
        <v>81</v>
      </c>
      <c r="H75" s="7"/>
      <c r="I75" s="6" t="str">
        <f aca="false">IF(H75="","Not mapped","Mapped")</f>
        <v>Not mapped</v>
      </c>
      <c r="J75" s="6"/>
    </row>
    <row r="76" customFormat="false" ht="15" hidden="false" customHeight="true" outlineLevel="0" collapsed="false">
      <c r="A76" s="6" t="s">
        <v>229</v>
      </c>
      <c r="B76" s="6" t="s">
        <v>230</v>
      </c>
      <c r="C76" s="6" t="s">
        <v>105</v>
      </c>
      <c r="D76" s="6" t="s">
        <v>27</v>
      </c>
      <c r="E76" s="6" t="s">
        <v>37</v>
      </c>
      <c r="F76" s="6" t="s">
        <v>29</v>
      </c>
      <c r="G76" s="6" t="s">
        <v>29</v>
      </c>
      <c r="H76" s="7"/>
      <c r="I76" s="6" t="str">
        <f aca="false">IF(H76="","Not mapped","Mapped")</f>
        <v>Not mapped</v>
      </c>
      <c r="J76" s="6" t="s">
        <v>231</v>
      </c>
    </row>
    <row r="77" customFormat="false" ht="34.5" hidden="false" customHeight="true" outlineLevel="0" collapsed="false">
      <c r="A77" s="6" t="s">
        <v>232</v>
      </c>
      <c r="B77" s="6" t="s">
        <v>233</v>
      </c>
      <c r="C77" s="6" t="s">
        <v>105</v>
      </c>
      <c r="D77" s="6" t="s">
        <v>36</v>
      </c>
      <c r="E77" s="6" t="s">
        <v>37</v>
      </c>
      <c r="F77" s="6" t="s">
        <v>29</v>
      </c>
      <c r="G77" s="6" t="s">
        <v>29</v>
      </c>
      <c r="H77" s="7" t="s">
        <v>168</v>
      </c>
      <c r="I77" s="6" t="str">
        <f aca="false">IF(H77="","Not mapped","Mapped")</f>
        <v>Mapped</v>
      </c>
      <c r="J77" s="6"/>
    </row>
    <row r="78" customFormat="false" ht="23.25" hidden="false" customHeight="true" outlineLevel="0" collapsed="false">
      <c r="A78" s="6" t="s">
        <v>234</v>
      </c>
      <c r="B78" s="6" t="s">
        <v>235</v>
      </c>
      <c r="C78" s="6" t="s">
        <v>105</v>
      </c>
      <c r="D78" s="6" t="s">
        <v>36</v>
      </c>
      <c r="E78" s="6" t="s">
        <v>37</v>
      </c>
      <c r="F78" s="6" t="s">
        <v>81</v>
      </c>
      <c r="G78" s="6" t="s">
        <v>81</v>
      </c>
      <c r="H78" s="7"/>
      <c r="I78" s="6" t="str">
        <f aca="false">IF(H78="","Not mapped","Mapped")</f>
        <v>Not mapped</v>
      </c>
      <c r="J78" s="6"/>
    </row>
    <row r="79" customFormat="false" ht="34.5" hidden="false" customHeight="true" outlineLevel="0" collapsed="false">
      <c r="A79" s="6" t="s">
        <v>236</v>
      </c>
      <c r="B79" s="6" t="s">
        <v>237</v>
      </c>
      <c r="C79" s="6" t="s">
        <v>105</v>
      </c>
      <c r="D79" s="6" t="s">
        <v>27</v>
      </c>
      <c r="E79" s="6" t="s">
        <v>41</v>
      </c>
      <c r="F79" s="6" t="s">
        <v>29</v>
      </c>
      <c r="G79" s="6" t="s">
        <v>29</v>
      </c>
      <c r="H79" s="7" t="s">
        <v>168</v>
      </c>
      <c r="I79" s="6" t="str">
        <f aca="false">IF(H79="","Not mapped","Mapped")</f>
        <v>Mapped</v>
      </c>
      <c r="J79" s="6"/>
    </row>
    <row r="80" customFormat="false" ht="15" hidden="false" customHeight="true" outlineLevel="0" collapsed="false">
      <c r="A80" s="6" t="s">
        <v>238</v>
      </c>
      <c r="B80" s="6" t="s">
        <v>239</v>
      </c>
      <c r="C80" s="6" t="s">
        <v>240</v>
      </c>
      <c r="D80" s="6" t="s">
        <v>27</v>
      </c>
      <c r="E80" s="6" t="s">
        <v>41</v>
      </c>
      <c r="F80" s="6" t="s">
        <v>226</v>
      </c>
      <c r="G80" s="6" t="s">
        <v>226</v>
      </c>
      <c r="H80" s="7" t="s">
        <v>241</v>
      </c>
      <c r="I80" s="6" t="str">
        <f aca="false">IF(H80="","Not mapped","Mapped")</f>
        <v>Mapped</v>
      </c>
      <c r="J80" s="6"/>
    </row>
    <row r="81" customFormat="false" ht="15" hidden="false" customHeight="true" outlineLevel="0" collapsed="false">
      <c r="A81" s="6" t="s">
        <v>242</v>
      </c>
      <c r="B81" s="6" t="s">
        <v>243</v>
      </c>
      <c r="C81" s="6" t="s">
        <v>240</v>
      </c>
      <c r="D81" s="6" t="s">
        <v>36</v>
      </c>
      <c r="E81" s="6" t="s">
        <v>37</v>
      </c>
      <c r="F81" s="6" t="s">
        <v>29</v>
      </c>
      <c r="G81" s="6" t="s">
        <v>29</v>
      </c>
      <c r="H81" s="7"/>
      <c r="I81" s="6" t="str">
        <f aca="false">IF(H81="","Not mapped","Mapped")</f>
        <v>Not mapped</v>
      </c>
      <c r="J81" s="6"/>
    </row>
    <row r="82" customFormat="false" ht="34.5" hidden="false" customHeight="true" outlineLevel="0" collapsed="false">
      <c r="A82" s="6" t="s">
        <v>244</v>
      </c>
      <c r="B82" s="6" t="s">
        <v>245</v>
      </c>
      <c r="C82" s="6" t="s">
        <v>240</v>
      </c>
      <c r="D82" s="6" t="s">
        <v>27</v>
      </c>
      <c r="E82" s="6" t="s">
        <v>41</v>
      </c>
      <c r="F82" s="6" t="s">
        <v>29</v>
      </c>
      <c r="G82" s="6" t="s">
        <v>29</v>
      </c>
      <c r="H82" s="7" t="s">
        <v>246</v>
      </c>
      <c r="I82" s="6" t="str">
        <f aca="false">IF(H82="","Not mapped","Mapped")</f>
        <v>Mapped</v>
      </c>
      <c r="J82" s="6"/>
    </row>
    <row r="83" customFormat="false" ht="34.5" hidden="false" customHeight="true" outlineLevel="0" collapsed="false">
      <c r="A83" s="6" t="s">
        <v>247</v>
      </c>
      <c r="B83" s="6" t="s">
        <v>248</v>
      </c>
      <c r="C83" s="6" t="s">
        <v>240</v>
      </c>
      <c r="D83" s="6" t="s">
        <v>27</v>
      </c>
      <c r="E83" s="6" t="s">
        <v>41</v>
      </c>
      <c r="F83" s="6" t="s">
        <v>29</v>
      </c>
      <c r="G83" s="6" t="s">
        <v>29</v>
      </c>
      <c r="H83" s="7" t="s">
        <v>249</v>
      </c>
      <c r="I83" s="6" t="str">
        <f aca="false">IF(H83="","Not mapped","Mapped")</f>
        <v>Mapped</v>
      </c>
      <c r="J83" s="6"/>
    </row>
    <row r="84" customFormat="false" ht="90.75" hidden="false" customHeight="true" outlineLevel="0" collapsed="false">
      <c r="A84" s="6" t="s">
        <v>250</v>
      </c>
      <c r="B84" s="6" t="s">
        <v>251</v>
      </c>
      <c r="C84" s="6" t="s">
        <v>240</v>
      </c>
      <c r="D84" s="6" t="s">
        <v>27</v>
      </c>
      <c r="E84" s="6" t="s">
        <v>41</v>
      </c>
      <c r="F84" s="6" t="s">
        <v>29</v>
      </c>
      <c r="G84" s="6" t="s">
        <v>29</v>
      </c>
      <c r="H84" s="7" t="s">
        <v>252</v>
      </c>
      <c r="I84" s="6" t="str">
        <f aca="false">IF(H84="","Not mapped","Mapped")</f>
        <v>Mapped</v>
      </c>
      <c r="J84" s="6"/>
    </row>
    <row r="85" customFormat="false" ht="23.25" hidden="false" customHeight="true" outlineLevel="0" collapsed="false">
      <c r="A85" s="6" t="s">
        <v>253</v>
      </c>
      <c r="B85" s="6" t="s">
        <v>254</v>
      </c>
      <c r="C85" s="6" t="s">
        <v>240</v>
      </c>
      <c r="D85" s="6" t="s">
        <v>27</v>
      </c>
      <c r="E85" s="6" t="s">
        <v>41</v>
      </c>
      <c r="F85" s="6" t="s">
        <v>81</v>
      </c>
      <c r="G85" s="6" t="s">
        <v>81</v>
      </c>
      <c r="H85" s="7"/>
      <c r="I85" s="6" t="str">
        <f aca="false">IF(H85="","Not mapped","Mapped")</f>
        <v>Not mapped</v>
      </c>
      <c r="J85" s="6"/>
    </row>
    <row r="86" customFormat="false" ht="15" hidden="false" customHeight="true" outlineLevel="0" collapsed="false">
      <c r="A86" s="6" t="s">
        <v>255</v>
      </c>
      <c r="B86" s="6" t="s">
        <v>256</v>
      </c>
      <c r="C86" s="6" t="s">
        <v>240</v>
      </c>
      <c r="D86" s="6" t="s">
        <v>27</v>
      </c>
      <c r="E86" s="6" t="s">
        <v>37</v>
      </c>
      <c r="F86" s="6" t="s">
        <v>29</v>
      </c>
      <c r="G86" s="6" t="s">
        <v>29</v>
      </c>
      <c r="H86" s="7"/>
      <c r="I86" s="6" t="str">
        <f aca="false">IF(H86="","Not mapped","Mapped")</f>
        <v>Not mapped</v>
      </c>
      <c r="J86" s="6" t="s">
        <v>257</v>
      </c>
    </row>
    <row r="87" customFormat="false" ht="15" hidden="false" customHeight="true" outlineLevel="0" collapsed="false">
      <c r="A87" s="6" t="s">
        <v>258</v>
      </c>
      <c r="B87" s="6" t="s">
        <v>259</v>
      </c>
      <c r="C87" s="6" t="s">
        <v>240</v>
      </c>
      <c r="D87" s="6" t="s">
        <v>27</v>
      </c>
      <c r="E87" s="6" t="s">
        <v>37</v>
      </c>
      <c r="F87" s="6" t="s">
        <v>29</v>
      </c>
      <c r="G87" s="6" t="s">
        <v>29</v>
      </c>
      <c r="H87" s="7"/>
      <c r="I87" s="6" t="str">
        <f aca="false">IF(H87="","Not mapped","Mapped")</f>
        <v>Not mapped</v>
      </c>
      <c r="J87" s="6" t="s">
        <v>260</v>
      </c>
    </row>
    <row r="88" customFormat="false" ht="15" hidden="false" customHeight="true" outlineLevel="0" collapsed="false">
      <c r="A88" s="6" t="s">
        <v>261</v>
      </c>
      <c r="B88" s="6" t="s">
        <v>262</v>
      </c>
      <c r="C88" s="6" t="s">
        <v>240</v>
      </c>
      <c r="D88" s="6" t="s">
        <v>36</v>
      </c>
      <c r="E88" s="6" t="s">
        <v>37</v>
      </c>
      <c r="F88" s="6" t="s">
        <v>29</v>
      </c>
      <c r="G88" s="6" t="s">
        <v>29</v>
      </c>
      <c r="H88" s="7"/>
      <c r="I88" s="6" t="str">
        <f aca="false">IF(H88="","Not mapped","Mapped")</f>
        <v>Not mapped</v>
      </c>
      <c r="J88" s="6"/>
    </row>
    <row r="89" customFormat="false" ht="45.75" hidden="false" customHeight="true" outlineLevel="0" collapsed="false">
      <c r="A89" s="6" t="s">
        <v>263</v>
      </c>
      <c r="B89" s="6" t="s">
        <v>264</v>
      </c>
      <c r="C89" s="6" t="s">
        <v>240</v>
      </c>
      <c r="D89" s="6" t="s">
        <v>27</v>
      </c>
      <c r="E89" s="6" t="s">
        <v>37</v>
      </c>
      <c r="F89" s="6" t="s">
        <v>29</v>
      </c>
      <c r="G89" s="6" t="s">
        <v>29</v>
      </c>
      <c r="H89" s="7" t="s">
        <v>265</v>
      </c>
      <c r="I89" s="6" t="str">
        <f aca="false">IF(H89="","Not mapped","Mapped")</f>
        <v>Mapped</v>
      </c>
      <c r="J89" s="6"/>
    </row>
    <row r="90" customFormat="false" ht="15" hidden="false" customHeight="true" outlineLevel="0" collapsed="false">
      <c r="A90" s="6" t="s">
        <v>266</v>
      </c>
      <c r="B90" s="6" t="s">
        <v>267</v>
      </c>
      <c r="C90" s="6" t="s">
        <v>240</v>
      </c>
      <c r="D90" s="6" t="s">
        <v>27</v>
      </c>
      <c r="E90" s="6" t="s">
        <v>41</v>
      </c>
      <c r="F90" s="6" t="s">
        <v>226</v>
      </c>
      <c r="G90" s="6" t="s">
        <v>226</v>
      </c>
      <c r="H90" s="7"/>
      <c r="I90" s="6" t="str">
        <f aca="false">IF(H90="","Not mapped","Mapped")</f>
        <v>Not mapped</v>
      </c>
      <c r="J90" s="6"/>
    </row>
    <row r="91" customFormat="false" ht="15" hidden="false" customHeight="true" outlineLevel="0" collapsed="false">
      <c r="A91" s="6" t="s">
        <v>268</v>
      </c>
      <c r="B91" s="6" t="s">
        <v>269</v>
      </c>
      <c r="C91" s="6" t="s">
        <v>240</v>
      </c>
      <c r="D91" s="6" t="s">
        <v>36</v>
      </c>
      <c r="E91" s="6" t="s">
        <v>37</v>
      </c>
      <c r="F91" s="6" t="s">
        <v>29</v>
      </c>
      <c r="G91" s="6" t="s">
        <v>29</v>
      </c>
      <c r="H91" s="7"/>
      <c r="I91" s="6" t="str">
        <f aca="false">IF(H91="","Not mapped","Mapped")</f>
        <v>Not mapped</v>
      </c>
      <c r="J91" s="6"/>
    </row>
    <row r="92" customFormat="false" ht="34.5" hidden="false" customHeight="true" outlineLevel="0" collapsed="false">
      <c r="A92" s="6" t="s">
        <v>270</v>
      </c>
      <c r="B92" s="6" t="s">
        <v>271</v>
      </c>
      <c r="C92" s="6" t="s">
        <v>240</v>
      </c>
      <c r="D92" s="6" t="s">
        <v>27</v>
      </c>
      <c r="E92" s="6" t="s">
        <v>41</v>
      </c>
      <c r="F92" s="6" t="s">
        <v>29</v>
      </c>
      <c r="G92" s="6" t="s">
        <v>29</v>
      </c>
      <c r="H92" s="7" t="s">
        <v>272</v>
      </c>
      <c r="I92" s="6" t="str">
        <f aca="false">IF(H92="","Not mapped","Mapped")</f>
        <v>Mapped</v>
      </c>
      <c r="J92" s="6"/>
    </row>
    <row r="93" customFormat="false" ht="34.5" hidden="false" customHeight="true" outlineLevel="0" collapsed="false">
      <c r="A93" s="6" t="s">
        <v>273</v>
      </c>
      <c r="B93" s="6" t="s">
        <v>274</v>
      </c>
      <c r="C93" s="6" t="s">
        <v>240</v>
      </c>
      <c r="D93" s="6" t="s">
        <v>27</v>
      </c>
      <c r="E93" s="6" t="s">
        <v>37</v>
      </c>
      <c r="F93" s="6" t="s">
        <v>29</v>
      </c>
      <c r="G93" s="6" t="s">
        <v>29</v>
      </c>
      <c r="H93" s="7" t="s">
        <v>272</v>
      </c>
      <c r="I93" s="6" t="str">
        <f aca="false">IF(H93="","Not mapped","Mapped")</f>
        <v>Mapped</v>
      </c>
      <c r="J93" s="6"/>
    </row>
    <row r="94" customFormat="false" ht="45.75" hidden="false" customHeight="true" outlineLevel="0" collapsed="false">
      <c r="A94" s="6" t="s">
        <v>275</v>
      </c>
      <c r="B94" s="6" t="s">
        <v>276</v>
      </c>
      <c r="C94" s="6" t="s">
        <v>240</v>
      </c>
      <c r="D94" s="6" t="s">
        <v>36</v>
      </c>
      <c r="E94" s="6" t="s">
        <v>37</v>
      </c>
      <c r="F94" s="6" t="s">
        <v>29</v>
      </c>
      <c r="G94" s="6" t="s">
        <v>29</v>
      </c>
      <c r="H94" s="7" t="s">
        <v>277</v>
      </c>
      <c r="I94" s="6" t="str">
        <f aca="false">IF(H94="","Not mapped","Mapped")</f>
        <v>Mapped</v>
      </c>
      <c r="J94" s="6"/>
    </row>
    <row r="95" customFormat="false" ht="15" hidden="false" customHeight="true" outlineLevel="0" collapsed="false">
      <c r="A95" s="6" t="s">
        <v>278</v>
      </c>
      <c r="B95" s="6" t="s">
        <v>279</v>
      </c>
      <c r="C95" s="6" t="s">
        <v>240</v>
      </c>
      <c r="D95" s="6" t="s">
        <v>27</v>
      </c>
      <c r="E95" s="6" t="s">
        <v>41</v>
      </c>
      <c r="F95" s="6" t="s">
        <v>29</v>
      </c>
      <c r="G95" s="6" t="s">
        <v>29</v>
      </c>
      <c r="H95" s="7"/>
      <c r="I95" s="6" t="str">
        <f aca="false">IF(H95="","Not mapped","Mapped")</f>
        <v>Not mapped</v>
      </c>
      <c r="J95" s="6" t="s">
        <v>280</v>
      </c>
    </row>
    <row r="96" customFormat="false" ht="23.25" hidden="false" customHeight="true" outlineLevel="0" collapsed="false">
      <c r="A96" s="6" t="s">
        <v>281</v>
      </c>
      <c r="B96" s="6" t="s">
        <v>282</v>
      </c>
      <c r="C96" s="6" t="s">
        <v>240</v>
      </c>
      <c r="D96" s="6" t="s">
        <v>36</v>
      </c>
      <c r="E96" s="6" t="s">
        <v>283</v>
      </c>
      <c r="F96" s="6" t="s">
        <v>81</v>
      </c>
      <c r="G96" s="6" t="s">
        <v>81</v>
      </c>
      <c r="H96" s="7"/>
      <c r="I96" s="6" t="str">
        <f aca="false">IF(H96="","Not mapped","Mapped")</f>
        <v>Not mapped</v>
      </c>
      <c r="J96" s="6"/>
    </row>
    <row r="97" customFormat="false" ht="15" hidden="false" customHeight="true" outlineLevel="0" collapsed="false">
      <c r="A97" s="6" t="s">
        <v>284</v>
      </c>
      <c r="B97" s="6" t="s">
        <v>285</v>
      </c>
      <c r="C97" s="6" t="s">
        <v>240</v>
      </c>
      <c r="D97" s="6" t="s">
        <v>286</v>
      </c>
      <c r="E97" s="6" t="s">
        <v>283</v>
      </c>
      <c r="F97" s="6" t="s">
        <v>226</v>
      </c>
      <c r="G97" s="6" t="s">
        <v>226</v>
      </c>
      <c r="H97" s="7"/>
      <c r="I97" s="6" t="str">
        <f aca="false">IF(H97="","Not mapped","Mapped")</f>
        <v>Not mapped</v>
      </c>
      <c r="J97" s="6"/>
    </row>
    <row r="98" customFormat="false" ht="15" hidden="false" customHeight="true" outlineLevel="0" collapsed="false">
      <c r="A98" s="6" t="s">
        <v>287</v>
      </c>
      <c r="B98" s="6" t="s">
        <v>288</v>
      </c>
      <c r="C98" s="6" t="s">
        <v>240</v>
      </c>
      <c r="D98" s="6" t="s">
        <v>27</v>
      </c>
      <c r="E98" s="6" t="s">
        <v>37</v>
      </c>
      <c r="F98" s="6" t="s">
        <v>29</v>
      </c>
      <c r="G98" s="6" t="s">
        <v>29</v>
      </c>
      <c r="H98" s="7"/>
      <c r="I98" s="6" t="str">
        <f aca="false">IF(H98="","Not mapped","Mapped")</f>
        <v>Not mapped</v>
      </c>
      <c r="J98" s="6" t="s">
        <v>289</v>
      </c>
    </row>
    <row r="99" customFormat="false" ht="15" hidden="false" customHeight="true" outlineLevel="0" collapsed="false">
      <c r="A99" s="6" t="s">
        <v>290</v>
      </c>
      <c r="B99" s="6" t="s">
        <v>291</v>
      </c>
      <c r="C99" s="6" t="s">
        <v>240</v>
      </c>
      <c r="D99" s="6" t="s">
        <v>27</v>
      </c>
      <c r="E99" s="6" t="s">
        <v>37</v>
      </c>
      <c r="F99" s="6" t="s">
        <v>29</v>
      </c>
      <c r="G99" s="6" t="s">
        <v>29</v>
      </c>
      <c r="H99" s="7"/>
      <c r="I99" s="6" t="str">
        <f aca="false">IF(H99="","Not mapped","Mapped")</f>
        <v>Not mapped</v>
      </c>
      <c r="J99" s="6" t="s">
        <v>292</v>
      </c>
    </row>
    <row r="100" customFormat="false" ht="15" hidden="false" customHeight="true" outlineLevel="0" collapsed="false">
      <c r="A100" s="6" t="s">
        <v>293</v>
      </c>
      <c r="B100" s="6" t="s">
        <v>294</v>
      </c>
      <c r="C100" s="6" t="s">
        <v>240</v>
      </c>
      <c r="D100" s="6" t="s">
        <v>27</v>
      </c>
      <c r="E100" s="6" t="s">
        <v>37</v>
      </c>
      <c r="F100" s="6" t="s">
        <v>29</v>
      </c>
      <c r="G100" s="6" t="s">
        <v>29</v>
      </c>
      <c r="H100" s="7"/>
      <c r="I100" s="6" t="str">
        <f aca="false">IF(H100="","Not mapped","Mapped")</f>
        <v>Not mapped</v>
      </c>
      <c r="J100" s="6" t="s">
        <v>295</v>
      </c>
    </row>
    <row r="101" customFormat="false" ht="15" hidden="false" customHeight="true" outlineLevel="0" collapsed="false">
      <c r="A101" s="6" t="s">
        <v>296</v>
      </c>
      <c r="B101" s="6" t="s">
        <v>297</v>
      </c>
      <c r="C101" s="6" t="s">
        <v>240</v>
      </c>
      <c r="D101" s="6" t="s">
        <v>36</v>
      </c>
      <c r="E101" s="6" t="s">
        <v>37</v>
      </c>
      <c r="F101" s="6" t="s">
        <v>29</v>
      </c>
      <c r="G101" s="6" t="s">
        <v>29</v>
      </c>
      <c r="H101" s="7"/>
      <c r="I101" s="6" t="str">
        <f aca="false">IF(H101="","Not mapped","Mapped")</f>
        <v>Not mapped</v>
      </c>
      <c r="J101" s="6"/>
    </row>
    <row r="102" customFormat="false" ht="15" hidden="false" customHeight="true" outlineLevel="0" collapsed="false">
      <c r="A102" s="6" t="s">
        <v>298</v>
      </c>
      <c r="B102" s="6" t="s">
        <v>299</v>
      </c>
      <c r="C102" s="6" t="s">
        <v>240</v>
      </c>
      <c r="D102" s="6" t="s">
        <v>27</v>
      </c>
      <c r="E102" s="6" t="s">
        <v>41</v>
      </c>
      <c r="F102" s="6" t="s">
        <v>29</v>
      </c>
      <c r="G102" s="6" t="s">
        <v>29</v>
      </c>
      <c r="H102" s="7"/>
      <c r="I102" s="6" t="str">
        <f aca="false">IF(H102="","Not mapped","Mapped")</f>
        <v>Not mapped</v>
      </c>
      <c r="J102" s="6" t="s">
        <v>300</v>
      </c>
    </row>
    <row r="103" customFormat="false" ht="15" hidden="false" customHeight="true" outlineLevel="0" collapsed="false">
      <c r="A103" s="6" t="s">
        <v>301</v>
      </c>
      <c r="B103" s="6" t="s">
        <v>302</v>
      </c>
      <c r="C103" s="6" t="s">
        <v>240</v>
      </c>
      <c r="D103" s="6" t="s">
        <v>27</v>
      </c>
      <c r="E103" s="6" t="s">
        <v>37</v>
      </c>
      <c r="F103" s="6" t="s">
        <v>29</v>
      </c>
      <c r="G103" s="6" t="s">
        <v>29</v>
      </c>
      <c r="H103" s="7" t="s">
        <v>303</v>
      </c>
      <c r="I103" s="6" t="str">
        <f aca="false">IF(H103="","Not mapped","Mapped")</f>
        <v>Mapped</v>
      </c>
      <c r="J103" s="6"/>
    </row>
    <row r="104" customFormat="false" ht="23.25" hidden="false" customHeight="true" outlineLevel="0" collapsed="false">
      <c r="A104" s="6" t="s">
        <v>304</v>
      </c>
      <c r="B104" s="6" t="s">
        <v>305</v>
      </c>
      <c r="C104" s="6" t="s">
        <v>240</v>
      </c>
      <c r="D104" s="6" t="s">
        <v>36</v>
      </c>
      <c r="E104" s="6" t="s">
        <v>37</v>
      </c>
      <c r="F104" s="6" t="s">
        <v>29</v>
      </c>
      <c r="G104" s="6" t="s">
        <v>29</v>
      </c>
      <c r="H104" s="7"/>
      <c r="I104" s="6" t="str">
        <f aca="false">IF(H104="","Not mapped","Mapped")</f>
        <v>Not mapped</v>
      </c>
      <c r="J104" s="6" t="s">
        <v>84</v>
      </c>
    </row>
    <row r="105" customFormat="false" ht="15" hidden="false" customHeight="true" outlineLevel="0" collapsed="false">
      <c r="A105" s="6" t="s">
        <v>306</v>
      </c>
      <c r="B105" s="6" t="s">
        <v>307</v>
      </c>
      <c r="C105" s="6" t="s">
        <v>240</v>
      </c>
      <c r="D105" s="6" t="s">
        <v>36</v>
      </c>
      <c r="E105" s="6" t="s">
        <v>37</v>
      </c>
      <c r="F105" s="6" t="s">
        <v>29</v>
      </c>
      <c r="G105" s="6" t="s">
        <v>29</v>
      </c>
      <c r="H105" s="7"/>
      <c r="I105" s="6" t="str">
        <f aca="false">IF(H105="","Not mapped","Mapped")</f>
        <v>Not mapped</v>
      </c>
      <c r="J105" s="6"/>
    </row>
    <row r="106" customFormat="false" ht="15" hidden="false" customHeight="true" outlineLevel="0" collapsed="false">
      <c r="A106" s="6" t="s">
        <v>308</v>
      </c>
      <c r="B106" s="6" t="s">
        <v>309</v>
      </c>
      <c r="C106" s="6" t="s">
        <v>310</v>
      </c>
      <c r="D106" s="6" t="s">
        <v>27</v>
      </c>
      <c r="E106" s="6" t="s">
        <v>311</v>
      </c>
      <c r="F106" s="6" t="s">
        <v>29</v>
      </c>
      <c r="G106" s="6" t="s">
        <v>29</v>
      </c>
      <c r="H106" s="7"/>
      <c r="I106" s="6" t="str">
        <f aca="false">IF(H106="","Not mapped","Mapped")</f>
        <v>Not mapped</v>
      </c>
      <c r="J106" s="6" t="s">
        <v>312</v>
      </c>
    </row>
    <row r="107" customFormat="false" ht="15" hidden="false" customHeight="true" outlineLevel="0" collapsed="false">
      <c r="A107" s="6" t="s">
        <v>313</v>
      </c>
      <c r="B107" s="6" t="s">
        <v>314</v>
      </c>
      <c r="C107" s="6" t="s">
        <v>310</v>
      </c>
      <c r="D107" s="6" t="s">
        <v>27</v>
      </c>
      <c r="E107" s="6" t="s">
        <v>311</v>
      </c>
      <c r="F107" s="6" t="s">
        <v>29</v>
      </c>
      <c r="G107" s="6" t="s">
        <v>29</v>
      </c>
      <c r="H107" s="7"/>
      <c r="I107" s="6" t="str">
        <f aca="false">IF(H107="","Not mapped","Mapped")</f>
        <v>Not mapped</v>
      </c>
      <c r="J107" s="6" t="s">
        <v>315</v>
      </c>
    </row>
    <row r="108" customFormat="false" ht="79.5" hidden="false" customHeight="true" outlineLevel="0" collapsed="false">
      <c r="A108" s="6" t="s">
        <v>316</v>
      </c>
      <c r="B108" s="6" t="s">
        <v>317</v>
      </c>
      <c r="C108" s="6" t="s">
        <v>310</v>
      </c>
      <c r="D108" s="6" t="s">
        <v>27</v>
      </c>
      <c r="E108" s="6" t="s">
        <v>311</v>
      </c>
      <c r="F108" s="6" t="s">
        <v>29</v>
      </c>
      <c r="G108" s="6" t="s">
        <v>29</v>
      </c>
      <c r="H108" s="7" t="s">
        <v>318</v>
      </c>
      <c r="I108" s="6" t="str">
        <f aca="false">IF(H108="","Not mapped","Mapped")</f>
        <v>Mapped</v>
      </c>
      <c r="J108" s="6"/>
    </row>
    <row r="109" customFormat="false" ht="15" hidden="false" customHeight="true" outlineLevel="0" collapsed="false">
      <c r="A109" s="6" t="s">
        <v>319</v>
      </c>
      <c r="B109" s="6" t="s">
        <v>320</v>
      </c>
      <c r="C109" s="6" t="s">
        <v>310</v>
      </c>
      <c r="D109" s="6" t="s">
        <v>27</v>
      </c>
      <c r="E109" s="6" t="s">
        <v>321</v>
      </c>
      <c r="F109" s="6" t="s">
        <v>29</v>
      </c>
      <c r="G109" s="6" t="s">
        <v>29</v>
      </c>
      <c r="H109" s="7"/>
      <c r="I109" s="6" t="str">
        <f aca="false">IF(H109="","Not mapped","Mapped")</f>
        <v>Not mapped</v>
      </c>
      <c r="J109" s="6" t="s">
        <v>322</v>
      </c>
    </row>
    <row r="110" customFormat="false" ht="45.75" hidden="false" customHeight="true" outlineLevel="0" collapsed="false">
      <c r="A110" s="6" t="s">
        <v>323</v>
      </c>
      <c r="B110" s="6" t="s">
        <v>324</v>
      </c>
      <c r="C110" s="6" t="s">
        <v>310</v>
      </c>
      <c r="D110" s="6" t="s">
        <v>27</v>
      </c>
      <c r="E110" s="6" t="s">
        <v>311</v>
      </c>
      <c r="F110" s="6" t="s">
        <v>29</v>
      </c>
      <c r="G110" s="6" t="s">
        <v>29</v>
      </c>
      <c r="H110" s="7" t="s">
        <v>325</v>
      </c>
      <c r="I110" s="6" t="str">
        <f aca="false">IF(H110="","Not mapped","Mapped")</f>
        <v>Mapped</v>
      </c>
      <c r="J110" s="6"/>
    </row>
    <row r="111" customFormat="false" ht="23.25" hidden="false" customHeight="true" outlineLevel="0" collapsed="false">
      <c r="A111" s="6" t="s">
        <v>326</v>
      </c>
      <c r="B111" s="6" t="s">
        <v>327</v>
      </c>
      <c r="C111" s="6" t="s">
        <v>310</v>
      </c>
      <c r="D111" s="6" t="s">
        <v>27</v>
      </c>
      <c r="E111" s="6" t="s">
        <v>321</v>
      </c>
      <c r="F111" s="6" t="s">
        <v>29</v>
      </c>
      <c r="G111" s="6" t="s">
        <v>29</v>
      </c>
      <c r="H111" s="7" t="s">
        <v>328</v>
      </c>
      <c r="I111" s="6" t="str">
        <f aca="false">IF(H111="","Not mapped","Mapped")</f>
        <v>Mapped</v>
      </c>
      <c r="J111" s="6"/>
    </row>
    <row r="112" customFormat="false" ht="45.75" hidden="false" customHeight="true" outlineLevel="0" collapsed="false">
      <c r="A112" s="6" t="s">
        <v>329</v>
      </c>
      <c r="B112" s="6" t="s">
        <v>330</v>
      </c>
      <c r="C112" s="6" t="s">
        <v>310</v>
      </c>
      <c r="D112" s="6" t="s">
        <v>36</v>
      </c>
      <c r="E112" s="6" t="s">
        <v>331</v>
      </c>
      <c r="F112" s="6" t="s">
        <v>29</v>
      </c>
      <c r="G112" s="6" t="s">
        <v>29</v>
      </c>
      <c r="H112" s="7" t="s">
        <v>325</v>
      </c>
      <c r="I112" s="6" t="str">
        <f aca="false">IF(H112="","Not mapped","Mapped")</f>
        <v>Mapped</v>
      </c>
      <c r="J112" s="6"/>
    </row>
    <row r="113" customFormat="false" ht="15" hidden="false" customHeight="true" outlineLevel="0" collapsed="false">
      <c r="A113" s="6" t="s">
        <v>332</v>
      </c>
      <c r="B113" s="6" t="s">
        <v>333</v>
      </c>
      <c r="C113" s="6" t="s">
        <v>310</v>
      </c>
      <c r="D113" s="6" t="s">
        <v>27</v>
      </c>
      <c r="E113" s="6" t="s">
        <v>321</v>
      </c>
      <c r="F113" s="6" t="s">
        <v>29</v>
      </c>
      <c r="G113" s="6" t="s">
        <v>29</v>
      </c>
      <c r="H113" s="7"/>
      <c r="I113" s="6" t="str">
        <f aca="false">IF(H113="","Not mapped","Mapped")</f>
        <v>Not mapped</v>
      </c>
      <c r="J113" s="6" t="s">
        <v>334</v>
      </c>
    </row>
    <row r="114" customFormat="false" ht="15" hidden="false" customHeight="true" outlineLevel="0" collapsed="false">
      <c r="A114" s="6" t="s">
        <v>335</v>
      </c>
      <c r="B114" s="6" t="s">
        <v>336</v>
      </c>
      <c r="C114" s="6" t="s">
        <v>310</v>
      </c>
      <c r="D114" s="6" t="s">
        <v>27</v>
      </c>
      <c r="E114" s="6" t="s">
        <v>321</v>
      </c>
      <c r="F114" s="6" t="s">
        <v>29</v>
      </c>
      <c r="G114" s="6" t="s">
        <v>29</v>
      </c>
      <c r="H114" s="7"/>
      <c r="I114" s="6" t="str">
        <f aca="false">IF(H114="","Not mapped","Mapped")</f>
        <v>Not mapped</v>
      </c>
      <c r="J114" s="6" t="s">
        <v>337</v>
      </c>
    </row>
    <row r="115" customFormat="false" ht="15" hidden="false" customHeight="true" outlineLevel="0" collapsed="false">
      <c r="A115" s="6" t="s">
        <v>338</v>
      </c>
      <c r="B115" s="6" t="s">
        <v>339</v>
      </c>
      <c r="C115" s="6" t="s">
        <v>310</v>
      </c>
      <c r="D115" s="6" t="s">
        <v>27</v>
      </c>
      <c r="E115" s="6" t="s">
        <v>311</v>
      </c>
      <c r="F115" s="6" t="s">
        <v>340</v>
      </c>
      <c r="G115" s="6" t="s">
        <v>29</v>
      </c>
      <c r="H115" s="7"/>
      <c r="I115" s="6" t="str">
        <f aca="false">IF(H115="","Not mapped","Mapped")</f>
        <v>Not mapped</v>
      </c>
      <c r="J115" s="6"/>
    </row>
    <row r="116" customFormat="false" ht="23.25" hidden="false" customHeight="true" outlineLevel="0" collapsed="false">
      <c r="A116" s="6" t="s">
        <v>341</v>
      </c>
      <c r="B116" s="6" t="s">
        <v>342</v>
      </c>
      <c r="C116" s="6" t="s">
        <v>310</v>
      </c>
      <c r="D116" s="6" t="s">
        <v>27</v>
      </c>
      <c r="E116" s="6" t="s">
        <v>311</v>
      </c>
      <c r="F116" s="6" t="s">
        <v>226</v>
      </c>
      <c r="G116" s="6" t="s">
        <v>226</v>
      </c>
      <c r="H116" s="7" t="s">
        <v>343</v>
      </c>
      <c r="I116" s="6" t="str">
        <f aca="false">IF(H116="","Not mapped","Mapped")</f>
        <v>Mapped</v>
      </c>
      <c r="J116" s="6"/>
    </row>
    <row r="117" customFormat="false" ht="15" hidden="false" customHeight="true" outlineLevel="0" collapsed="false">
      <c r="A117" s="6" t="s">
        <v>344</v>
      </c>
      <c r="B117" s="6" t="s">
        <v>345</v>
      </c>
      <c r="C117" s="6" t="s">
        <v>310</v>
      </c>
      <c r="D117" s="6" t="s">
        <v>27</v>
      </c>
      <c r="E117" s="6" t="s">
        <v>321</v>
      </c>
      <c r="F117" s="6" t="s">
        <v>29</v>
      </c>
      <c r="G117" s="6" t="s">
        <v>29</v>
      </c>
      <c r="H117" s="7"/>
      <c r="I117" s="6" t="str">
        <f aca="false">IF(H117="","Not mapped","Mapped")</f>
        <v>Not mapped</v>
      </c>
      <c r="J117" s="6" t="s">
        <v>346</v>
      </c>
    </row>
    <row r="118" customFormat="false" ht="23.25" hidden="false" customHeight="true" outlineLevel="0" collapsed="false">
      <c r="A118" s="6" t="s">
        <v>347</v>
      </c>
      <c r="B118" s="6" t="s">
        <v>348</v>
      </c>
      <c r="C118" s="6" t="s">
        <v>310</v>
      </c>
      <c r="D118" s="6" t="s">
        <v>27</v>
      </c>
      <c r="E118" s="6" t="s">
        <v>311</v>
      </c>
      <c r="F118" s="6" t="s">
        <v>29</v>
      </c>
      <c r="G118" s="6" t="s">
        <v>29</v>
      </c>
      <c r="H118" s="7" t="s">
        <v>349</v>
      </c>
      <c r="I118" s="6" t="str">
        <f aca="false">IF(H118="","Not mapped","Mapped")</f>
        <v>Mapped</v>
      </c>
      <c r="J118" s="6"/>
    </row>
    <row r="119" customFormat="false" ht="15" hidden="false" customHeight="true" outlineLevel="0" collapsed="false">
      <c r="A119" s="6" t="s">
        <v>350</v>
      </c>
      <c r="B119" s="6" t="s">
        <v>351</v>
      </c>
      <c r="C119" s="6" t="s">
        <v>310</v>
      </c>
      <c r="D119" s="6" t="s">
        <v>27</v>
      </c>
      <c r="E119" s="6" t="s">
        <v>321</v>
      </c>
      <c r="F119" s="6" t="s">
        <v>29</v>
      </c>
      <c r="G119" s="6" t="s">
        <v>29</v>
      </c>
      <c r="H119" s="7"/>
      <c r="I119" s="6" t="str">
        <f aca="false">IF(H119="","Not mapped","Mapped")</f>
        <v>Not mapped</v>
      </c>
      <c r="J119" s="6" t="s">
        <v>352</v>
      </c>
    </row>
    <row r="120" customFormat="false" ht="23.25" hidden="false" customHeight="true" outlineLevel="0" collapsed="false">
      <c r="A120" s="6" t="s">
        <v>353</v>
      </c>
      <c r="B120" s="6" t="s">
        <v>354</v>
      </c>
      <c r="C120" s="6" t="s">
        <v>310</v>
      </c>
      <c r="D120" s="6" t="s">
        <v>27</v>
      </c>
      <c r="E120" s="6" t="s">
        <v>311</v>
      </c>
      <c r="F120" s="6" t="s">
        <v>29</v>
      </c>
      <c r="G120" s="6" t="s">
        <v>29</v>
      </c>
      <c r="H120" s="7" t="s">
        <v>349</v>
      </c>
      <c r="I120" s="6" t="str">
        <f aca="false">IF(H120="","Not mapped","Mapped")</f>
        <v>Mapped</v>
      </c>
      <c r="J120" s="6"/>
    </row>
    <row r="121" customFormat="false" ht="34.5" hidden="false" customHeight="true" outlineLevel="0" collapsed="false">
      <c r="A121" s="6" t="s">
        <v>355</v>
      </c>
      <c r="B121" s="6" t="s">
        <v>356</v>
      </c>
      <c r="C121" s="6" t="s">
        <v>310</v>
      </c>
      <c r="D121" s="6" t="s">
        <v>27</v>
      </c>
      <c r="E121" s="6" t="s">
        <v>321</v>
      </c>
      <c r="F121" s="6" t="s">
        <v>357</v>
      </c>
      <c r="G121" s="6" t="s">
        <v>29</v>
      </c>
      <c r="H121" s="7" t="s">
        <v>358</v>
      </c>
      <c r="I121" s="6" t="str">
        <f aca="false">IF(H121="","Not mapped","Mapped")</f>
        <v>Mapped</v>
      </c>
      <c r="J121" s="6"/>
    </row>
    <row r="122" customFormat="false" ht="57" hidden="false" customHeight="true" outlineLevel="0" collapsed="false">
      <c r="A122" s="6" t="s">
        <v>359</v>
      </c>
      <c r="B122" s="6" t="s">
        <v>360</v>
      </c>
      <c r="C122" s="6" t="s">
        <v>310</v>
      </c>
      <c r="D122" s="6" t="s">
        <v>27</v>
      </c>
      <c r="E122" s="6" t="s">
        <v>321</v>
      </c>
      <c r="F122" s="6" t="s">
        <v>357</v>
      </c>
      <c r="G122" s="6" t="s">
        <v>29</v>
      </c>
      <c r="H122" s="7" t="s">
        <v>361</v>
      </c>
      <c r="I122" s="6" t="str">
        <f aca="false">IF(H122="","Not mapped","Mapped")</f>
        <v>Mapped</v>
      </c>
      <c r="J122" s="6"/>
    </row>
    <row r="123" customFormat="false" ht="15" hidden="false" customHeight="true" outlineLevel="0" collapsed="false">
      <c r="A123" s="6" t="s">
        <v>362</v>
      </c>
      <c r="B123" s="6" t="s">
        <v>363</v>
      </c>
      <c r="C123" s="6" t="s">
        <v>310</v>
      </c>
      <c r="D123" s="6" t="s">
        <v>36</v>
      </c>
      <c r="E123" s="6" t="s">
        <v>321</v>
      </c>
      <c r="F123" s="6" t="s">
        <v>29</v>
      </c>
      <c r="G123" s="6" t="s">
        <v>29</v>
      </c>
      <c r="H123" s="7"/>
      <c r="I123" s="6" t="str">
        <f aca="false">IF(H123="","Not mapped","Mapped")</f>
        <v>Not mapped</v>
      </c>
      <c r="J123" s="6" t="s">
        <v>38</v>
      </c>
    </row>
    <row r="124" customFormat="false" ht="34.5" hidden="false" customHeight="true" outlineLevel="0" collapsed="false">
      <c r="A124" s="6" t="s">
        <v>364</v>
      </c>
      <c r="B124" s="6" t="s">
        <v>365</v>
      </c>
      <c r="C124" s="6" t="s">
        <v>366</v>
      </c>
      <c r="D124" s="6" t="s">
        <v>27</v>
      </c>
      <c r="E124" s="6" t="s">
        <v>367</v>
      </c>
      <c r="F124" s="6" t="s">
        <v>29</v>
      </c>
      <c r="G124" s="6" t="s">
        <v>29</v>
      </c>
      <c r="H124" s="7" t="s">
        <v>368</v>
      </c>
      <c r="I124" s="6" t="str">
        <f aca="false">IF(H124="","Not mapped","Mapped")</f>
        <v>Mapped</v>
      </c>
      <c r="J124" s="6"/>
    </row>
    <row r="125" customFormat="false" ht="45.75" hidden="false" customHeight="true" outlineLevel="0" collapsed="false">
      <c r="A125" s="6" t="s">
        <v>369</v>
      </c>
      <c r="B125" s="6" t="s">
        <v>370</v>
      </c>
      <c r="C125" s="6" t="s">
        <v>366</v>
      </c>
      <c r="D125" s="6" t="s">
        <v>27</v>
      </c>
      <c r="E125" s="6" t="s">
        <v>371</v>
      </c>
      <c r="F125" s="6" t="s">
        <v>29</v>
      </c>
      <c r="G125" s="6" t="s">
        <v>29</v>
      </c>
      <c r="H125" s="7" t="s">
        <v>372</v>
      </c>
      <c r="I125" s="6" t="str">
        <f aca="false">IF(H125="","Not mapped","Mapped")</f>
        <v>Mapped</v>
      </c>
      <c r="J125" s="6"/>
    </row>
    <row r="126" customFormat="false" ht="15" hidden="false" customHeight="true" outlineLevel="0" collapsed="false">
      <c r="A126" s="6" t="s">
        <v>373</v>
      </c>
      <c r="B126" s="6" t="s">
        <v>374</v>
      </c>
      <c r="C126" s="6" t="s">
        <v>366</v>
      </c>
      <c r="D126" s="6" t="s">
        <v>27</v>
      </c>
      <c r="E126" s="6" t="s">
        <v>311</v>
      </c>
      <c r="F126" s="6" t="s">
        <v>29</v>
      </c>
      <c r="G126" s="6" t="s">
        <v>29</v>
      </c>
      <c r="H126" s="7"/>
      <c r="I126" s="6" t="str">
        <f aca="false">IF(H126="","Not mapped","Mapped")</f>
        <v>Not mapped</v>
      </c>
      <c r="J126" s="6" t="s">
        <v>375</v>
      </c>
    </row>
    <row r="127" customFormat="false" ht="15" hidden="false" customHeight="true" outlineLevel="0" collapsed="false">
      <c r="A127" s="6" t="s">
        <v>376</v>
      </c>
      <c r="B127" s="6" t="s">
        <v>377</v>
      </c>
      <c r="C127" s="6" t="s">
        <v>366</v>
      </c>
      <c r="D127" s="6" t="s">
        <v>27</v>
      </c>
      <c r="E127" s="6" t="s">
        <v>311</v>
      </c>
      <c r="F127" s="6" t="s">
        <v>29</v>
      </c>
      <c r="G127" s="6" t="s">
        <v>29</v>
      </c>
      <c r="H127" s="7"/>
      <c r="I127" s="6" t="str">
        <f aca="false">IF(H127="","Not mapped","Mapped")</f>
        <v>Not mapped</v>
      </c>
      <c r="J127" s="6" t="s">
        <v>378</v>
      </c>
    </row>
    <row r="128" customFormat="false" ht="15" hidden="false" customHeight="true" outlineLevel="0" collapsed="false">
      <c r="A128" s="6" t="s">
        <v>379</v>
      </c>
      <c r="B128" s="6" t="s">
        <v>380</v>
      </c>
      <c r="C128" s="6" t="s">
        <v>366</v>
      </c>
      <c r="D128" s="6" t="s">
        <v>27</v>
      </c>
      <c r="E128" s="6" t="s">
        <v>311</v>
      </c>
      <c r="F128" s="6" t="s">
        <v>29</v>
      </c>
      <c r="G128" s="6" t="s">
        <v>29</v>
      </c>
      <c r="H128" s="7"/>
      <c r="I128" s="6" t="str">
        <f aca="false">IF(H128="","Not mapped","Mapped")</f>
        <v>Not mapped</v>
      </c>
      <c r="J128" s="6" t="s">
        <v>381</v>
      </c>
    </row>
    <row r="129" customFormat="false" ht="34.5" hidden="false" customHeight="true" outlineLevel="0" collapsed="false">
      <c r="A129" s="6" t="s">
        <v>382</v>
      </c>
      <c r="B129" s="6" t="s">
        <v>383</v>
      </c>
      <c r="C129" s="6" t="s">
        <v>366</v>
      </c>
      <c r="D129" s="6" t="s">
        <v>27</v>
      </c>
      <c r="E129" s="6" t="s">
        <v>311</v>
      </c>
      <c r="F129" s="6" t="s">
        <v>29</v>
      </c>
      <c r="G129" s="6" t="s">
        <v>29</v>
      </c>
      <c r="H129" s="7" t="s">
        <v>384</v>
      </c>
      <c r="I129" s="6" t="str">
        <f aca="false">IF(H129="","Not mapped","Mapped")</f>
        <v>Mapped</v>
      </c>
      <c r="J129" s="6"/>
    </row>
    <row r="130" customFormat="false" ht="23.25" hidden="false" customHeight="true" outlineLevel="0" collapsed="false">
      <c r="A130" s="6" t="s">
        <v>385</v>
      </c>
      <c r="B130" s="6" t="s">
        <v>386</v>
      </c>
      <c r="C130" s="6" t="s">
        <v>366</v>
      </c>
      <c r="D130" s="6" t="s">
        <v>36</v>
      </c>
      <c r="E130" s="6" t="s">
        <v>321</v>
      </c>
      <c r="F130" s="6" t="s">
        <v>29</v>
      </c>
      <c r="G130" s="6" t="s">
        <v>29</v>
      </c>
      <c r="H130" s="7"/>
      <c r="I130" s="6" t="str">
        <f aca="false">IF(H130="","Not mapped","Mapped")</f>
        <v>Not mapped</v>
      </c>
      <c r="J130" s="6" t="s">
        <v>84</v>
      </c>
    </row>
    <row r="131" customFormat="false" ht="34.5" hidden="false" customHeight="true" outlineLevel="0" collapsed="false">
      <c r="A131" s="6" t="s">
        <v>387</v>
      </c>
      <c r="B131" s="6" t="s">
        <v>388</v>
      </c>
      <c r="C131" s="6" t="s">
        <v>366</v>
      </c>
      <c r="D131" s="6" t="s">
        <v>27</v>
      </c>
      <c r="E131" s="6" t="s">
        <v>311</v>
      </c>
      <c r="F131" s="6" t="s">
        <v>29</v>
      </c>
      <c r="G131" s="6" t="s">
        <v>29</v>
      </c>
      <c r="H131" s="7" t="s">
        <v>384</v>
      </c>
      <c r="I131" s="6" t="str">
        <f aca="false">IF(H131="","Not mapped","Mapped")</f>
        <v>Mapped</v>
      </c>
      <c r="J131" s="6"/>
    </row>
    <row r="132" customFormat="false" ht="15" hidden="false" customHeight="true" outlineLevel="0" collapsed="false">
      <c r="A132" s="6" t="s">
        <v>389</v>
      </c>
      <c r="B132" s="6" t="s">
        <v>390</v>
      </c>
      <c r="C132" s="6" t="s">
        <v>366</v>
      </c>
      <c r="D132" s="6" t="s">
        <v>27</v>
      </c>
      <c r="E132" s="6" t="s">
        <v>321</v>
      </c>
      <c r="F132" s="6" t="s">
        <v>29</v>
      </c>
      <c r="G132" s="6" t="s">
        <v>29</v>
      </c>
      <c r="H132" s="7"/>
      <c r="I132" s="6" t="str">
        <f aca="false">IF(H132="","Not mapped","Mapped")</f>
        <v>Not mapped</v>
      </c>
      <c r="J132" s="6" t="s">
        <v>391</v>
      </c>
    </row>
    <row r="133" customFormat="false" ht="15" hidden="false" customHeight="true" outlineLevel="0" collapsed="false">
      <c r="A133" s="6" t="s">
        <v>392</v>
      </c>
      <c r="B133" s="6" t="s">
        <v>393</v>
      </c>
      <c r="C133" s="6" t="s">
        <v>366</v>
      </c>
      <c r="D133" s="6" t="s">
        <v>27</v>
      </c>
      <c r="E133" s="6" t="s">
        <v>321</v>
      </c>
      <c r="F133" s="6" t="s">
        <v>29</v>
      </c>
      <c r="G133" s="6" t="s">
        <v>29</v>
      </c>
      <c r="H133" s="7"/>
      <c r="I133" s="6" t="str">
        <f aca="false">IF(H133="","Not mapped","Mapped")</f>
        <v>Not mapped</v>
      </c>
      <c r="J133" s="6" t="s">
        <v>394</v>
      </c>
    </row>
    <row r="134" customFormat="false" ht="15" hidden="false" customHeight="true" outlineLevel="0" collapsed="false">
      <c r="A134" s="6" t="s">
        <v>395</v>
      </c>
      <c r="B134" s="6" t="s">
        <v>396</v>
      </c>
      <c r="C134" s="6" t="s">
        <v>366</v>
      </c>
      <c r="D134" s="6" t="s">
        <v>27</v>
      </c>
      <c r="E134" s="6" t="s">
        <v>311</v>
      </c>
      <c r="F134" s="6" t="s">
        <v>29</v>
      </c>
      <c r="G134" s="6" t="s">
        <v>29</v>
      </c>
      <c r="H134" s="7" t="s">
        <v>397</v>
      </c>
      <c r="I134" s="6" t="str">
        <f aca="false">IF(H134="","Not mapped","Mapped")</f>
        <v>Mapped</v>
      </c>
      <c r="J134" s="6" t="s">
        <v>398</v>
      </c>
    </row>
    <row r="135" customFormat="false" ht="34.5" hidden="false" customHeight="true" outlineLevel="0" collapsed="false">
      <c r="A135" s="6" t="s">
        <v>399</v>
      </c>
      <c r="B135" s="6" t="s">
        <v>400</v>
      </c>
      <c r="C135" s="6" t="s">
        <v>366</v>
      </c>
      <c r="D135" s="6" t="s">
        <v>27</v>
      </c>
      <c r="E135" s="6" t="s">
        <v>321</v>
      </c>
      <c r="F135" s="6" t="s">
        <v>29</v>
      </c>
      <c r="G135" s="6" t="s">
        <v>29</v>
      </c>
      <c r="H135" s="7" t="s">
        <v>368</v>
      </c>
      <c r="I135" s="6" t="str">
        <f aca="false">IF(H135="","Not mapped","Mapped")</f>
        <v>Mapped</v>
      </c>
      <c r="J135" s="6"/>
    </row>
    <row r="136" customFormat="false" ht="15" hidden="false" customHeight="true" outlineLevel="0" collapsed="false">
      <c r="A136" s="6" t="s">
        <v>401</v>
      </c>
      <c r="B136" s="6" t="s">
        <v>402</v>
      </c>
      <c r="C136" s="6" t="s">
        <v>366</v>
      </c>
      <c r="D136" s="6" t="s">
        <v>36</v>
      </c>
      <c r="E136" s="6" t="s">
        <v>321</v>
      </c>
      <c r="F136" s="6" t="s">
        <v>29</v>
      </c>
      <c r="G136" s="6" t="s">
        <v>29</v>
      </c>
      <c r="H136" s="7"/>
      <c r="I136" s="6" t="str">
        <f aca="false">IF(H136="","Not mapped","Mapped")</f>
        <v>Not mapped</v>
      </c>
      <c r="J136" s="6"/>
    </row>
    <row r="137" customFormat="false" ht="15" hidden="false" customHeight="true" outlineLevel="0" collapsed="false">
      <c r="A137" s="6" t="s">
        <v>403</v>
      </c>
      <c r="B137" s="6" t="s">
        <v>404</v>
      </c>
      <c r="C137" s="6" t="s">
        <v>366</v>
      </c>
      <c r="D137" s="6" t="s">
        <v>27</v>
      </c>
      <c r="E137" s="6" t="s">
        <v>367</v>
      </c>
      <c r="F137" s="6" t="s">
        <v>29</v>
      </c>
      <c r="G137" s="6" t="s">
        <v>29</v>
      </c>
      <c r="H137" s="7" t="s">
        <v>405</v>
      </c>
      <c r="I137" s="6" t="str">
        <f aca="false">IF(H137="","Not mapped","Mapped")</f>
        <v>Mapped</v>
      </c>
      <c r="J137" s="6"/>
    </row>
    <row r="138" customFormat="false" ht="15" hidden="false" customHeight="true" outlineLevel="0" collapsed="false">
      <c r="A138" s="6" t="s">
        <v>406</v>
      </c>
      <c r="B138" s="6" t="s">
        <v>407</v>
      </c>
      <c r="C138" s="6" t="s">
        <v>366</v>
      </c>
      <c r="D138" s="6" t="s">
        <v>27</v>
      </c>
      <c r="E138" s="6" t="s">
        <v>311</v>
      </c>
      <c r="F138" s="6" t="s">
        <v>29</v>
      </c>
      <c r="G138" s="6" t="s">
        <v>29</v>
      </c>
      <c r="H138" s="7" t="s">
        <v>408</v>
      </c>
      <c r="I138" s="6" t="str">
        <f aca="false">IF(H138="","Not mapped","Mapped")</f>
        <v>Mapped</v>
      </c>
      <c r="J138" s="6" t="s">
        <v>409</v>
      </c>
    </row>
    <row r="139" customFormat="false" ht="15" hidden="false" customHeight="true" outlineLevel="0" collapsed="false">
      <c r="A139" s="6" t="s">
        <v>410</v>
      </c>
      <c r="B139" s="6" t="s">
        <v>411</v>
      </c>
      <c r="C139" s="6" t="s">
        <v>366</v>
      </c>
      <c r="D139" s="6" t="s">
        <v>27</v>
      </c>
      <c r="E139" s="6" t="s">
        <v>367</v>
      </c>
      <c r="F139" s="6" t="s">
        <v>29</v>
      </c>
      <c r="G139" s="6" t="s">
        <v>29</v>
      </c>
      <c r="H139" s="7" t="s">
        <v>412</v>
      </c>
      <c r="I139" s="6" t="str">
        <f aca="false">IF(H139="","Not mapped","Mapped")</f>
        <v>Mapped</v>
      </c>
      <c r="J139" s="6" t="s">
        <v>413</v>
      </c>
    </row>
    <row r="140" customFormat="false" ht="15" hidden="false" customHeight="true" outlineLevel="0" collapsed="false">
      <c r="A140" s="6" t="s">
        <v>414</v>
      </c>
      <c r="B140" s="6" t="s">
        <v>415</v>
      </c>
      <c r="C140" s="6" t="s">
        <v>366</v>
      </c>
      <c r="D140" s="6" t="s">
        <v>27</v>
      </c>
      <c r="E140" s="6" t="s">
        <v>311</v>
      </c>
      <c r="F140" s="6" t="s">
        <v>29</v>
      </c>
      <c r="G140" s="6" t="s">
        <v>29</v>
      </c>
      <c r="H140" s="7"/>
      <c r="I140" s="6" t="str">
        <f aca="false">IF(H140="","Not mapped","Mapped")</f>
        <v>Not mapped</v>
      </c>
      <c r="J140" s="6" t="s">
        <v>416</v>
      </c>
    </row>
    <row r="141" customFormat="false" ht="34.5" hidden="false" customHeight="true" outlineLevel="0" collapsed="false">
      <c r="A141" s="6" t="s">
        <v>417</v>
      </c>
      <c r="B141" s="6" t="s">
        <v>418</v>
      </c>
      <c r="C141" s="6" t="s">
        <v>366</v>
      </c>
      <c r="D141" s="6" t="s">
        <v>27</v>
      </c>
      <c r="E141" s="6" t="s">
        <v>311</v>
      </c>
      <c r="F141" s="6" t="s">
        <v>29</v>
      </c>
      <c r="G141" s="6" t="s">
        <v>29</v>
      </c>
      <c r="H141" s="7" t="s">
        <v>368</v>
      </c>
      <c r="I141" s="6" t="str">
        <f aca="false">IF(H141="","Not mapped","Mapped")</f>
        <v>Mapped</v>
      </c>
      <c r="J141" s="6"/>
    </row>
    <row r="142" customFormat="false" ht="23.25" hidden="false" customHeight="true" outlineLevel="0" collapsed="false">
      <c r="A142" s="6" t="s">
        <v>419</v>
      </c>
      <c r="B142" s="6" t="s">
        <v>420</v>
      </c>
      <c r="C142" s="6" t="s">
        <v>366</v>
      </c>
      <c r="D142" s="6" t="s">
        <v>27</v>
      </c>
      <c r="E142" s="6" t="s">
        <v>367</v>
      </c>
      <c r="F142" s="6" t="s">
        <v>81</v>
      </c>
      <c r="G142" s="6" t="s">
        <v>81</v>
      </c>
      <c r="H142" s="7"/>
      <c r="I142" s="6" t="str">
        <f aca="false">IF(H142="","Not mapped","Mapped")</f>
        <v>Not mapped</v>
      </c>
      <c r="J142" s="6"/>
    </row>
    <row r="143" customFormat="false" ht="15" hidden="false" customHeight="true" outlineLevel="0" collapsed="false">
      <c r="A143" s="6" t="s">
        <v>421</v>
      </c>
      <c r="B143" s="6" t="s">
        <v>422</v>
      </c>
      <c r="C143" s="6" t="s">
        <v>366</v>
      </c>
      <c r="D143" s="6" t="s">
        <v>27</v>
      </c>
      <c r="E143" s="6" t="s">
        <v>311</v>
      </c>
      <c r="F143" s="6" t="s">
        <v>29</v>
      </c>
      <c r="G143" s="6" t="s">
        <v>29</v>
      </c>
      <c r="H143" s="7" t="s">
        <v>405</v>
      </c>
      <c r="I143" s="6" t="str">
        <f aca="false">IF(H143="","Not mapped","Mapped")</f>
        <v>Mapped</v>
      </c>
      <c r="J143" s="6"/>
    </row>
    <row r="144" customFormat="false" ht="23.25" hidden="false" customHeight="true" outlineLevel="0" collapsed="false">
      <c r="A144" s="6" t="s">
        <v>423</v>
      </c>
      <c r="B144" s="6" t="s">
        <v>424</v>
      </c>
      <c r="C144" s="6" t="s">
        <v>366</v>
      </c>
      <c r="D144" s="6" t="s">
        <v>36</v>
      </c>
      <c r="E144" s="6" t="s">
        <v>321</v>
      </c>
      <c r="F144" s="6" t="s">
        <v>29</v>
      </c>
      <c r="G144" s="6" t="s">
        <v>29</v>
      </c>
      <c r="H144" s="7"/>
      <c r="I144" s="6" t="str">
        <f aca="false">IF(H144="","Not mapped","Mapped")</f>
        <v>Not mapped</v>
      </c>
      <c r="J144" s="6" t="s">
        <v>84</v>
      </c>
    </row>
    <row r="145" customFormat="false" ht="15" hidden="false" customHeight="true" outlineLevel="0" collapsed="false">
      <c r="A145" s="6" t="s">
        <v>425</v>
      </c>
      <c r="B145" s="6" t="s">
        <v>426</v>
      </c>
      <c r="C145" s="6" t="s">
        <v>366</v>
      </c>
      <c r="D145" s="6" t="s">
        <v>27</v>
      </c>
      <c r="E145" s="6" t="s">
        <v>321</v>
      </c>
      <c r="F145" s="6" t="s">
        <v>29</v>
      </c>
      <c r="G145" s="6" t="s">
        <v>29</v>
      </c>
      <c r="H145" s="7"/>
      <c r="I145" s="6" t="str">
        <f aca="false">IF(H145="","Not mapped","Mapped")</f>
        <v>Not mapped</v>
      </c>
      <c r="J145" s="6" t="s">
        <v>427</v>
      </c>
    </row>
    <row r="146" customFormat="false" ht="23.25" hidden="false" customHeight="true" outlineLevel="0" collapsed="false">
      <c r="A146" s="6" t="s">
        <v>428</v>
      </c>
      <c r="B146" s="6" t="s">
        <v>429</v>
      </c>
      <c r="C146" s="6" t="s">
        <v>366</v>
      </c>
      <c r="D146" s="6" t="s">
        <v>36</v>
      </c>
      <c r="E146" s="6" t="s">
        <v>321</v>
      </c>
      <c r="F146" s="6" t="s">
        <v>81</v>
      </c>
      <c r="G146" s="6" t="s">
        <v>81</v>
      </c>
      <c r="H146" s="7"/>
      <c r="I146" s="6" t="str">
        <f aca="false">IF(H146="","Not mapped","Mapped")</f>
        <v>Not mapped</v>
      </c>
      <c r="J146" s="6" t="s">
        <v>38</v>
      </c>
    </row>
    <row r="147" customFormat="false" ht="23.25" hidden="false" customHeight="true" outlineLevel="0" collapsed="false">
      <c r="A147" s="6" t="s">
        <v>430</v>
      </c>
      <c r="B147" s="6" t="s">
        <v>431</v>
      </c>
      <c r="C147" s="6" t="s">
        <v>366</v>
      </c>
      <c r="D147" s="6" t="s">
        <v>36</v>
      </c>
      <c r="E147" s="6" t="s">
        <v>311</v>
      </c>
      <c r="F147" s="6" t="s">
        <v>81</v>
      </c>
      <c r="G147" s="6" t="s">
        <v>81</v>
      </c>
      <c r="H147" s="7"/>
      <c r="I147" s="6" t="str">
        <f aca="false">IF(H147="","Not mapped","Mapped")</f>
        <v>Not mapped</v>
      </c>
      <c r="J147" s="6"/>
    </row>
    <row r="148" customFormat="false" ht="34.5" hidden="false" customHeight="true" outlineLevel="0" collapsed="false">
      <c r="A148" s="6" t="s">
        <v>432</v>
      </c>
      <c r="B148" s="6" t="s">
        <v>433</v>
      </c>
      <c r="C148" s="6" t="s">
        <v>434</v>
      </c>
      <c r="D148" s="6" t="s">
        <v>27</v>
      </c>
      <c r="E148" s="6" t="s">
        <v>311</v>
      </c>
      <c r="F148" s="6" t="s">
        <v>29</v>
      </c>
      <c r="G148" s="6" t="s">
        <v>29</v>
      </c>
      <c r="H148" s="7" t="s">
        <v>435</v>
      </c>
      <c r="I148" s="6" t="str">
        <f aca="false">IF(H148="","Not mapped","Mapped")</f>
        <v>Mapped</v>
      </c>
      <c r="J148" s="6"/>
    </row>
    <row r="149" customFormat="false" ht="15" hidden="false" customHeight="true" outlineLevel="0" collapsed="false">
      <c r="A149" s="6" t="s">
        <v>436</v>
      </c>
      <c r="B149" s="6" t="s">
        <v>437</v>
      </c>
      <c r="C149" s="6" t="s">
        <v>434</v>
      </c>
      <c r="D149" s="6" t="s">
        <v>27</v>
      </c>
      <c r="E149" s="6" t="s">
        <v>311</v>
      </c>
      <c r="F149" s="6" t="s">
        <v>29</v>
      </c>
      <c r="G149" s="6" t="s">
        <v>29</v>
      </c>
      <c r="H149" s="7"/>
      <c r="I149" s="6" t="str">
        <f aca="false">IF(H149="","Not mapped","Mapped")</f>
        <v>Not mapped</v>
      </c>
      <c r="J149" s="6" t="s">
        <v>438</v>
      </c>
    </row>
    <row r="150" customFormat="false" ht="45.75" hidden="false" customHeight="true" outlineLevel="0" collapsed="false">
      <c r="A150" s="6" t="s">
        <v>439</v>
      </c>
      <c r="B150" s="6" t="s">
        <v>440</v>
      </c>
      <c r="C150" s="6" t="s">
        <v>434</v>
      </c>
      <c r="D150" s="6" t="s">
        <v>27</v>
      </c>
      <c r="E150" s="6" t="s">
        <v>311</v>
      </c>
      <c r="F150" s="6" t="s">
        <v>29</v>
      </c>
      <c r="G150" s="6" t="s">
        <v>29</v>
      </c>
      <c r="H150" s="7" t="s">
        <v>441</v>
      </c>
      <c r="I150" s="6" t="str">
        <f aca="false">IF(H150="","Not mapped","Mapped")</f>
        <v>Mapped</v>
      </c>
      <c r="J150" s="6"/>
    </row>
    <row r="151" customFormat="false" ht="15" hidden="false" customHeight="true" outlineLevel="0" collapsed="false">
      <c r="A151" s="6" t="s">
        <v>442</v>
      </c>
      <c r="B151" s="6" t="s">
        <v>443</v>
      </c>
      <c r="C151" s="6" t="s">
        <v>434</v>
      </c>
      <c r="D151" s="6" t="s">
        <v>27</v>
      </c>
      <c r="E151" s="6" t="s">
        <v>311</v>
      </c>
      <c r="F151" s="6" t="s">
        <v>29</v>
      </c>
      <c r="G151" s="6" t="s">
        <v>29</v>
      </c>
      <c r="H151" s="7"/>
      <c r="I151" s="6" t="str">
        <f aca="false">IF(H151="","Not mapped","Mapped")</f>
        <v>Not mapped</v>
      </c>
      <c r="J151" s="6" t="s">
        <v>444</v>
      </c>
    </row>
    <row r="152" customFormat="false" ht="15" hidden="false" customHeight="true" outlineLevel="0" collapsed="false">
      <c r="A152" s="6" t="s">
        <v>445</v>
      </c>
      <c r="B152" s="6" t="s">
        <v>446</v>
      </c>
      <c r="C152" s="6" t="s">
        <v>434</v>
      </c>
      <c r="D152" s="6" t="s">
        <v>27</v>
      </c>
      <c r="E152" s="6" t="s">
        <v>311</v>
      </c>
      <c r="F152" s="6" t="s">
        <v>29</v>
      </c>
      <c r="G152" s="6" t="s">
        <v>29</v>
      </c>
      <c r="H152" s="7"/>
      <c r="I152" s="6" t="str">
        <f aca="false">IF(H152="","Not mapped","Mapped")</f>
        <v>Not mapped</v>
      </c>
      <c r="J152" s="6" t="s">
        <v>447</v>
      </c>
    </row>
    <row r="153" customFormat="false" ht="45.75" hidden="false" customHeight="true" outlineLevel="0" collapsed="false">
      <c r="A153" s="6" t="s">
        <v>448</v>
      </c>
      <c r="B153" s="6" t="s">
        <v>449</v>
      </c>
      <c r="C153" s="6" t="s">
        <v>434</v>
      </c>
      <c r="D153" s="6" t="s">
        <v>27</v>
      </c>
      <c r="E153" s="6" t="s">
        <v>321</v>
      </c>
      <c r="F153" s="6" t="s">
        <v>29</v>
      </c>
      <c r="G153" s="6" t="s">
        <v>29</v>
      </c>
      <c r="H153" s="7" t="s">
        <v>265</v>
      </c>
      <c r="I153" s="6" t="str">
        <f aca="false">IF(H153="","Not mapped","Mapped")</f>
        <v>Mapped</v>
      </c>
      <c r="J153" s="6"/>
    </row>
    <row r="154" customFormat="false" ht="23.25" hidden="false" customHeight="true" outlineLevel="0" collapsed="false">
      <c r="A154" s="6" t="s">
        <v>450</v>
      </c>
      <c r="B154" s="6" t="s">
        <v>451</v>
      </c>
      <c r="C154" s="6" t="s">
        <v>434</v>
      </c>
      <c r="D154" s="6" t="s">
        <v>27</v>
      </c>
      <c r="E154" s="6" t="s">
        <v>311</v>
      </c>
      <c r="F154" s="6" t="s">
        <v>226</v>
      </c>
      <c r="G154" s="6" t="s">
        <v>226</v>
      </c>
      <c r="H154" s="7" t="s">
        <v>452</v>
      </c>
      <c r="I154" s="6" t="str">
        <f aca="false">IF(H154="","Not mapped","Mapped")</f>
        <v>Mapped</v>
      </c>
      <c r="J154" s="6"/>
    </row>
    <row r="155" customFormat="false" ht="23.25" hidden="false" customHeight="true" outlineLevel="0" collapsed="false">
      <c r="A155" s="6" t="s">
        <v>453</v>
      </c>
      <c r="B155" s="6" t="s">
        <v>454</v>
      </c>
      <c r="C155" s="6" t="s">
        <v>434</v>
      </c>
      <c r="D155" s="6" t="s">
        <v>27</v>
      </c>
      <c r="E155" s="6" t="s">
        <v>311</v>
      </c>
      <c r="F155" s="6" t="s">
        <v>29</v>
      </c>
      <c r="G155" s="6" t="s">
        <v>29</v>
      </c>
      <c r="H155" s="7" t="s">
        <v>452</v>
      </c>
      <c r="I155" s="6" t="str">
        <f aca="false">IF(H155="","Not mapped","Mapped")</f>
        <v>Mapped</v>
      </c>
      <c r="J155" s="6"/>
    </row>
    <row r="156" customFormat="false" ht="23.25" hidden="false" customHeight="true" outlineLevel="0" collapsed="false">
      <c r="A156" s="6" t="s">
        <v>455</v>
      </c>
      <c r="B156" s="6" t="s">
        <v>456</v>
      </c>
      <c r="C156" s="6" t="s">
        <v>434</v>
      </c>
      <c r="D156" s="6" t="s">
        <v>36</v>
      </c>
      <c r="E156" s="6" t="s">
        <v>311</v>
      </c>
      <c r="F156" s="6" t="s">
        <v>81</v>
      </c>
      <c r="G156" s="6" t="s">
        <v>81</v>
      </c>
      <c r="H156" s="7"/>
      <c r="I156" s="6" t="str">
        <f aca="false">IF(H156="","Not mapped","Mapped")</f>
        <v>Not mapped</v>
      </c>
      <c r="J156" s="6"/>
    </row>
    <row r="157" customFormat="false" ht="23.25" hidden="false" customHeight="true" outlineLevel="0" collapsed="false">
      <c r="A157" s="6" t="s">
        <v>457</v>
      </c>
      <c r="B157" s="6" t="s">
        <v>458</v>
      </c>
      <c r="C157" s="6" t="s">
        <v>434</v>
      </c>
      <c r="D157" s="6" t="s">
        <v>27</v>
      </c>
      <c r="E157" s="6" t="s">
        <v>311</v>
      </c>
      <c r="F157" s="6" t="s">
        <v>29</v>
      </c>
      <c r="G157" s="6" t="s">
        <v>29</v>
      </c>
      <c r="H157" s="7" t="s">
        <v>459</v>
      </c>
      <c r="I157" s="6" t="str">
        <f aca="false">IF(H157="","Not mapped","Mapped")</f>
        <v>Mapped</v>
      </c>
      <c r="J157" s="6"/>
    </row>
    <row r="158" customFormat="false" ht="23.25" hidden="false" customHeight="true" outlineLevel="0" collapsed="false">
      <c r="A158" s="6" t="s">
        <v>460</v>
      </c>
      <c r="B158" s="6" t="s">
        <v>461</v>
      </c>
      <c r="C158" s="6" t="s">
        <v>434</v>
      </c>
      <c r="D158" s="6" t="s">
        <v>27</v>
      </c>
      <c r="E158" s="6" t="s">
        <v>321</v>
      </c>
      <c r="F158" s="6" t="s">
        <v>29</v>
      </c>
      <c r="G158" s="6" t="s">
        <v>29</v>
      </c>
      <c r="H158" s="7" t="s">
        <v>459</v>
      </c>
      <c r="I158" s="6" t="str">
        <f aca="false">IF(H158="","Not mapped","Mapped")</f>
        <v>Mapped</v>
      </c>
      <c r="J158" s="6"/>
    </row>
    <row r="159" customFormat="false" ht="23.25" hidden="false" customHeight="true" outlineLevel="0" collapsed="false">
      <c r="A159" s="6" t="s">
        <v>462</v>
      </c>
      <c r="B159" s="6" t="s">
        <v>463</v>
      </c>
      <c r="C159" s="6" t="s">
        <v>434</v>
      </c>
      <c r="D159" s="6" t="s">
        <v>218</v>
      </c>
      <c r="E159" s="6" t="s">
        <v>331</v>
      </c>
      <c r="F159" s="6" t="s">
        <v>29</v>
      </c>
      <c r="G159" s="6" t="s">
        <v>29</v>
      </c>
      <c r="H159" s="7"/>
      <c r="I159" s="6" t="str">
        <f aca="false">IF(H159="","Not mapped","Mapped")</f>
        <v>Not mapped</v>
      </c>
      <c r="J159" s="6" t="s">
        <v>84</v>
      </c>
    </row>
    <row r="160" customFormat="false" ht="23.25" hidden="false" customHeight="true" outlineLevel="0" collapsed="false">
      <c r="A160" s="6" t="s">
        <v>464</v>
      </c>
      <c r="B160" s="6" t="s">
        <v>465</v>
      </c>
      <c r="C160" s="6" t="s">
        <v>434</v>
      </c>
      <c r="D160" s="6" t="s">
        <v>36</v>
      </c>
      <c r="E160" s="6" t="s">
        <v>321</v>
      </c>
      <c r="F160" s="6" t="s">
        <v>81</v>
      </c>
      <c r="G160" s="6" t="s">
        <v>81</v>
      </c>
      <c r="H160" s="7"/>
      <c r="I160" s="6" t="str">
        <f aca="false">IF(H160="","Not mapped","Mapped")</f>
        <v>Not mapped</v>
      </c>
      <c r="J160" s="6"/>
    </row>
    <row r="161" customFormat="false" ht="15" hidden="false" customHeight="true" outlineLevel="0" collapsed="false">
      <c r="A161" s="6" t="s">
        <v>466</v>
      </c>
      <c r="B161" s="6" t="s">
        <v>467</v>
      </c>
      <c r="C161" s="6" t="s">
        <v>434</v>
      </c>
      <c r="D161" s="6" t="s">
        <v>36</v>
      </c>
      <c r="E161" s="6" t="s">
        <v>321</v>
      </c>
      <c r="F161" s="6" t="s">
        <v>29</v>
      </c>
      <c r="G161" s="6" t="s">
        <v>29</v>
      </c>
      <c r="H161" s="7"/>
      <c r="I161" s="6" t="str">
        <f aca="false">IF(H161="","Not mapped","Mapped")</f>
        <v>Not mapped</v>
      </c>
      <c r="J161" s="6"/>
    </row>
    <row r="162" customFormat="false" ht="15" hidden="false" customHeight="true" outlineLevel="0" collapsed="false">
      <c r="A162" s="6" t="s">
        <v>468</v>
      </c>
      <c r="B162" s="6" t="s">
        <v>469</v>
      </c>
      <c r="C162" s="6" t="s">
        <v>434</v>
      </c>
      <c r="D162" s="6" t="s">
        <v>36</v>
      </c>
      <c r="E162" s="6" t="s">
        <v>321</v>
      </c>
      <c r="F162" s="6" t="s">
        <v>29</v>
      </c>
      <c r="G162" s="6" t="s">
        <v>29</v>
      </c>
      <c r="H162" s="7"/>
      <c r="I162" s="6" t="str">
        <f aca="false">IF(H162="","Not mapped","Mapped")</f>
        <v>Not mapped</v>
      </c>
      <c r="J162" s="6"/>
    </row>
    <row r="163" customFormat="false" ht="90.75" hidden="false" customHeight="true" outlineLevel="0" collapsed="false">
      <c r="A163" s="6" t="s">
        <v>470</v>
      </c>
      <c r="B163" s="6" t="s">
        <v>471</v>
      </c>
      <c r="C163" s="6" t="s">
        <v>434</v>
      </c>
      <c r="D163" s="6" t="s">
        <v>27</v>
      </c>
      <c r="E163" s="6" t="s">
        <v>311</v>
      </c>
      <c r="F163" s="6" t="s">
        <v>29</v>
      </c>
      <c r="G163" s="6" t="s">
        <v>29</v>
      </c>
      <c r="H163" s="7" t="s">
        <v>472</v>
      </c>
      <c r="I163" s="6" t="str">
        <f aca="false">IF(H163="","Not mapped","Mapped")</f>
        <v>Mapped</v>
      </c>
      <c r="J163" s="6"/>
    </row>
    <row r="164" customFormat="false" ht="15" hidden="false" customHeight="true" outlineLevel="0" collapsed="false">
      <c r="A164" s="6" t="s">
        <v>473</v>
      </c>
      <c r="B164" s="6" t="s">
        <v>474</v>
      </c>
      <c r="C164" s="6" t="s">
        <v>434</v>
      </c>
      <c r="D164" s="6" t="s">
        <v>27</v>
      </c>
      <c r="E164" s="6" t="s">
        <v>311</v>
      </c>
      <c r="F164" s="6" t="s">
        <v>29</v>
      </c>
      <c r="G164" s="6" t="s">
        <v>29</v>
      </c>
      <c r="H164" s="7"/>
      <c r="I164" s="6" t="str">
        <f aca="false">IF(H164="","Not mapped","Mapped")</f>
        <v>Not mapped</v>
      </c>
      <c r="J164" s="6" t="s">
        <v>475</v>
      </c>
    </row>
    <row r="165" customFormat="false" ht="15" hidden="false" customHeight="true" outlineLevel="0" collapsed="false">
      <c r="A165" s="6" t="s">
        <v>476</v>
      </c>
      <c r="B165" s="6" t="s">
        <v>477</v>
      </c>
      <c r="C165" s="6" t="s">
        <v>434</v>
      </c>
      <c r="D165" s="6" t="s">
        <v>36</v>
      </c>
      <c r="E165" s="6" t="s">
        <v>311</v>
      </c>
      <c r="F165" s="6" t="s">
        <v>29</v>
      </c>
      <c r="G165" s="6" t="s">
        <v>29</v>
      </c>
      <c r="H165" s="7"/>
      <c r="I165" s="6" t="str">
        <f aca="false">IF(H165="","Not mapped","Mapped")</f>
        <v>Not mapped</v>
      </c>
      <c r="J165" s="6"/>
    </row>
    <row r="166" customFormat="false" ht="15" hidden="false" customHeight="true" outlineLevel="0" collapsed="false">
      <c r="A166" s="6" t="s">
        <v>478</v>
      </c>
      <c r="B166" s="6" t="s">
        <v>479</v>
      </c>
      <c r="C166" s="6" t="s">
        <v>434</v>
      </c>
      <c r="D166" s="6" t="s">
        <v>27</v>
      </c>
      <c r="E166" s="6" t="s">
        <v>311</v>
      </c>
      <c r="F166" s="6" t="s">
        <v>29</v>
      </c>
      <c r="G166" s="6" t="s">
        <v>29</v>
      </c>
      <c r="H166" s="7"/>
      <c r="I166" s="6" t="str">
        <f aca="false">IF(H166="","Not mapped","Mapped")</f>
        <v>Not mapped</v>
      </c>
      <c r="J166" s="6" t="s">
        <v>475</v>
      </c>
    </row>
    <row r="167" customFormat="false" ht="23.25" hidden="false" customHeight="true" outlineLevel="0" collapsed="false">
      <c r="A167" s="6" t="s">
        <v>480</v>
      </c>
      <c r="B167" s="6" t="s">
        <v>481</v>
      </c>
      <c r="C167" s="6" t="s">
        <v>434</v>
      </c>
      <c r="D167" s="6" t="s">
        <v>27</v>
      </c>
      <c r="E167" s="6" t="s">
        <v>311</v>
      </c>
      <c r="F167" s="6" t="s">
        <v>29</v>
      </c>
      <c r="G167" s="6" t="s">
        <v>29</v>
      </c>
      <c r="H167" s="7" t="s">
        <v>482</v>
      </c>
      <c r="I167" s="6" t="str">
        <f aca="false">IF(H167="","Not mapped","Mapped")</f>
        <v>Mapped</v>
      </c>
      <c r="J167" s="6"/>
    </row>
    <row r="168" customFormat="false" ht="15" hidden="false" customHeight="true" outlineLevel="0" collapsed="false">
      <c r="A168" s="6" t="s">
        <v>483</v>
      </c>
      <c r="B168" s="6" t="s">
        <v>484</v>
      </c>
      <c r="C168" s="6" t="s">
        <v>434</v>
      </c>
      <c r="D168" s="6" t="s">
        <v>36</v>
      </c>
      <c r="E168" s="6" t="s">
        <v>321</v>
      </c>
      <c r="F168" s="6" t="s">
        <v>29</v>
      </c>
      <c r="G168" s="6" t="s">
        <v>29</v>
      </c>
      <c r="H168" s="7"/>
      <c r="I168" s="6" t="str">
        <f aca="false">IF(H168="","Not mapped","Mapped")</f>
        <v>Not mapped</v>
      </c>
      <c r="J168" s="6"/>
    </row>
    <row r="169" customFormat="false" ht="15" hidden="false" customHeight="true" outlineLevel="0" collapsed="false">
      <c r="A169" s="6" t="s">
        <v>485</v>
      </c>
      <c r="B169" s="6" t="s">
        <v>486</v>
      </c>
      <c r="C169" s="6" t="s">
        <v>434</v>
      </c>
      <c r="D169" s="6" t="s">
        <v>36</v>
      </c>
      <c r="E169" s="6" t="s">
        <v>321</v>
      </c>
      <c r="F169" s="6" t="s">
        <v>29</v>
      </c>
      <c r="G169" s="6" t="s">
        <v>29</v>
      </c>
      <c r="H169" s="7"/>
      <c r="I169" s="6" t="str">
        <f aca="false">IF(H169="","Not mapped","Mapped")</f>
        <v>Not mapped</v>
      </c>
      <c r="J169" s="6"/>
    </row>
    <row r="170" customFormat="false" ht="15" hidden="false" customHeight="true" outlineLevel="0" collapsed="false">
      <c r="A170" s="6" t="s">
        <v>487</v>
      </c>
      <c r="B170" s="6" t="s">
        <v>488</v>
      </c>
      <c r="C170" s="6" t="s">
        <v>434</v>
      </c>
      <c r="D170" s="6" t="s">
        <v>27</v>
      </c>
      <c r="E170" s="6" t="s">
        <v>311</v>
      </c>
      <c r="F170" s="6" t="s">
        <v>29</v>
      </c>
      <c r="G170" s="6" t="s">
        <v>29</v>
      </c>
      <c r="H170" s="7" t="s">
        <v>489</v>
      </c>
      <c r="I170" s="6" t="str">
        <f aca="false">IF(H170="","Not mapped","Mapped")</f>
        <v>Mapped</v>
      </c>
      <c r="J170" s="6"/>
    </row>
    <row r="171" customFormat="false" ht="15" hidden="false" customHeight="true" outlineLevel="0" collapsed="false">
      <c r="A171" s="6" t="s">
        <v>490</v>
      </c>
      <c r="B171" s="6" t="s">
        <v>491</v>
      </c>
      <c r="C171" s="6" t="s">
        <v>434</v>
      </c>
      <c r="D171" s="6" t="s">
        <v>36</v>
      </c>
      <c r="E171" s="6" t="s">
        <v>311</v>
      </c>
      <c r="F171" s="6" t="s">
        <v>29</v>
      </c>
      <c r="G171" s="6" t="s">
        <v>29</v>
      </c>
      <c r="H171" s="7" t="s">
        <v>492</v>
      </c>
      <c r="I171" s="6" t="str">
        <f aca="false">IF(H171="","Not mapped","Mapped")</f>
        <v>Mapped</v>
      </c>
      <c r="J171" s="6"/>
    </row>
    <row r="172" customFormat="false" ht="23.25" hidden="false" customHeight="true" outlineLevel="0" collapsed="false">
      <c r="A172" s="6" t="s">
        <v>493</v>
      </c>
      <c r="B172" s="6" t="s">
        <v>494</v>
      </c>
      <c r="C172" s="6" t="s">
        <v>434</v>
      </c>
      <c r="D172" s="6" t="s">
        <v>36</v>
      </c>
      <c r="E172" s="6" t="s">
        <v>331</v>
      </c>
      <c r="F172" s="6" t="s">
        <v>29</v>
      </c>
      <c r="G172" s="6" t="s">
        <v>29</v>
      </c>
      <c r="H172" s="7"/>
      <c r="I172" s="6" t="str">
        <f aca="false">IF(H172="","Not mapped","Mapped")</f>
        <v>Not mapped</v>
      </c>
      <c r="J172" s="6" t="s">
        <v>84</v>
      </c>
    </row>
    <row r="173" customFormat="false" ht="23.25" hidden="false" customHeight="true" outlineLevel="0" collapsed="false">
      <c r="A173" s="6" t="s">
        <v>495</v>
      </c>
      <c r="B173" s="6" t="s">
        <v>496</v>
      </c>
      <c r="C173" s="6" t="s">
        <v>434</v>
      </c>
      <c r="D173" s="6" t="s">
        <v>36</v>
      </c>
      <c r="E173" s="6" t="s">
        <v>331</v>
      </c>
      <c r="F173" s="6" t="s">
        <v>81</v>
      </c>
      <c r="G173" s="6" t="s">
        <v>81</v>
      </c>
      <c r="H173" s="7"/>
      <c r="I173" s="6" t="str">
        <f aca="false">IF(H173="","Not mapped","Mapped")</f>
        <v>Not mapped</v>
      </c>
      <c r="J173" s="6"/>
    </row>
    <row r="174" customFormat="false" ht="15" hidden="false" customHeight="true" outlineLevel="0" collapsed="false">
      <c r="A174" s="6" t="s">
        <v>497</v>
      </c>
      <c r="B174" s="6" t="s">
        <v>498</v>
      </c>
      <c r="C174" s="6" t="s">
        <v>434</v>
      </c>
      <c r="D174" s="6" t="s">
        <v>36</v>
      </c>
      <c r="E174" s="6" t="s">
        <v>321</v>
      </c>
      <c r="F174" s="6" t="s">
        <v>29</v>
      </c>
      <c r="G174" s="6" t="s">
        <v>29</v>
      </c>
      <c r="H174" s="7"/>
      <c r="I174" s="6" t="str">
        <f aca="false">IF(H174="","Not mapped","Mapped")</f>
        <v>Not mapped</v>
      </c>
      <c r="J174" s="6"/>
    </row>
    <row r="175" customFormat="false" ht="23.25" hidden="false" customHeight="true" outlineLevel="0" collapsed="false">
      <c r="A175" s="6" t="s">
        <v>499</v>
      </c>
      <c r="B175" s="6" t="s">
        <v>500</v>
      </c>
      <c r="C175" s="6" t="s">
        <v>434</v>
      </c>
      <c r="D175" s="6" t="s">
        <v>36</v>
      </c>
      <c r="E175" s="6" t="s">
        <v>321</v>
      </c>
      <c r="F175" s="6" t="s">
        <v>81</v>
      </c>
      <c r="G175" s="6" t="s">
        <v>81</v>
      </c>
      <c r="H175" s="7"/>
      <c r="I175" s="6" t="str">
        <f aca="false">IF(H175="","Not mapped","Mapped")</f>
        <v>Not mapped</v>
      </c>
      <c r="J175" s="6"/>
    </row>
    <row r="176" customFormat="false" ht="15" hidden="false" customHeight="true" outlineLevel="0" collapsed="false">
      <c r="A176" s="6" t="s">
        <v>501</v>
      </c>
      <c r="B176" s="6" t="s">
        <v>502</v>
      </c>
      <c r="C176" s="6" t="s">
        <v>503</v>
      </c>
      <c r="D176" s="6" t="s">
        <v>27</v>
      </c>
      <c r="E176" s="6" t="s">
        <v>41</v>
      </c>
      <c r="F176" s="6" t="s">
        <v>226</v>
      </c>
      <c r="G176" s="6" t="s">
        <v>226</v>
      </c>
      <c r="H176" s="7" t="s">
        <v>504</v>
      </c>
      <c r="I176" s="6" t="str">
        <f aca="false">IF(H176="","Not mapped","Mapped")</f>
        <v>Mapped</v>
      </c>
      <c r="J176" s="6"/>
    </row>
    <row r="177" customFormat="false" ht="15" hidden="false" customHeight="true" outlineLevel="0" collapsed="false">
      <c r="A177" s="6" t="s">
        <v>505</v>
      </c>
      <c r="B177" s="6" t="s">
        <v>506</v>
      </c>
      <c r="C177" s="6" t="s">
        <v>503</v>
      </c>
      <c r="D177" s="6" t="s">
        <v>27</v>
      </c>
      <c r="E177" s="6" t="s">
        <v>41</v>
      </c>
      <c r="F177" s="6" t="s">
        <v>29</v>
      </c>
      <c r="G177" s="6" t="s">
        <v>29</v>
      </c>
      <c r="H177" s="7" t="s">
        <v>507</v>
      </c>
      <c r="I177" s="6" t="str">
        <f aca="false">IF(H177="","Not mapped","Mapped")</f>
        <v>Mapped</v>
      </c>
      <c r="J177" s="6"/>
    </row>
    <row r="178" customFormat="false" ht="15" hidden="false" customHeight="true" outlineLevel="0" collapsed="false">
      <c r="A178" s="6" t="s">
        <v>508</v>
      </c>
      <c r="B178" s="6" t="s">
        <v>509</v>
      </c>
      <c r="C178" s="6" t="s">
        <v>503</v>
      </c>
      <c r="D178" s="6" t="s">
        <v>36</v>
      </c>
      <c r="E178" s="6" t="s">
        <v>37</v>
      </c>
      <c r="F178" s="6" t="s">
        <v>29</v>
      </c>
      <c r="G178" s="6" t="s">
        <v>29</v>
      </c>
      <c r="H178" s="7"/>
      <c r="I178" s="6" t="str">
        <f aca="false">IF(H178="","Not mapped","Mapped")</f>
        <v>Not mapped</v>
      </c>
      <c r="J178" s="6"/>
    </row>
    <row r="179" customFormat="false" ht="15" hidden="false" customHeight="true" outlineLevel="0" collapsed="false">
      <c r="A179" s="6" t="s">
        <v>510</v>
      </c>
      <c r="B179" s="6" t="s">
        <v>511</v>
      </c>
      <c r="C179" s="6" t="s">
        <v>503</v>
      </c>
      <c r="D179" s="6" t="s">
        <v>218</v>
      </c>
      <c r="E179" s="6" t="s">
        <v>102</v>
      </c>
      <c r="F179" s="6" t="s">
        <v>29</v>
      </c>
      <c r="G179" s="6" t="s">
        <v>29</v>
      </c>
      <c r="H179" s="7"/>
      <c r="I179" s="6" t="str">
        <f aca="false">IF(H179="","Not mapped","Mapped")</f>
        <v>Not mapped</v>
      </c>
      <c r="J179" s="6"/>
    </row>
    <row r="180" customFormat="false" ht="23.25" hidden="false" customHeight="true" outlineLevel="0" collapsed="false">
      <c r="A180" s="6" t="s">
        <v>512</v>
      </c>
      <c r="B180" s="6" t="s">
        <v>513</v>
      </c>
      <c r="C180" s="6" t="s">
        <v>503</v>
      </c>
      <c r="D180" s="6" t="s">
        <v>27</v>
      </c>
      <c r="E180" s="6" t="s">
        <v>28</v>
      </c>
      <c r="F180" s="6" t="s">
        <v>29</v>
      </c>
      <c r="G180" s="6" t="s">
        <v>29</v>
      </c>
      <c r="H180" s="7" t="s">
        <v>514</v>
      </c>
      <c r="I180" s="6" t="str">
        <f aca="false">IF(H180="","Not mapped","Mapped")</f>
        <v>Mapped</v>
      </c>
      <c r="J180" s="6"/>
    </row>
    <row r="181" customFormat="false" ht="15" hidden="false" customHeight="true" outlineLevel="0" collapsed="false">
      <c r="A181" s="6" t="s">
        <v>515</v>
      </c>
      <c r="B181" s="6" t="s">
        <v>516</v>
      </c>
      <c r="C181" s="6" t="s">
        <v>503</v>
      </c>
      <c r="D181" s="6" t="s">
        <v>27</v>
      </c>
      <c r="E181" s="6" t="s">
        <v>41</v>
      </c>
      <c r="F181" s="6" t="s">
        <v>29</v>
      </c>
      <c r="G181" s="6" t="s">
        <v>29</v>
      </c>
      <c r="H181" s="7" t="s">
        <v>517</v>
      </c>
      <c r="I181" s="6" t="str">
        <f aca="false">IF(H181="","Not mapped","Mapped")</f>
        <v>Mapped</v>
      </c>
      <c r="J181" s="6"/>
    </row>
    <row r="182" customFormat="false" ht="135.75" hidden="false" customHeight="true" outlineLevel="0" collapsed="false">
      <c r="A182" s="6" t="s">
        <v>518</v>
      </c>
      <c r="B182" s="6" t="s">
        <v>519</v>
      </c>
      <c r="C182" s="6" t="s">
        <v>503</v>
      </c>
      <c r="D182" s="6" t="s">
        <v>27</v>
      </c>
      <c r="E182" s="6" t="s">
        <v>41</v>
      </c>
      <c r="F182" s="6" t="s">
        <v>29</v>
      </c>
      <c r="G182" s="6" t="s">
        <v>29</v>
      </c>
      <c r="H182" s="7" t="s">
        <v>520</v>
      </c>
      <c r="I182" s="6" t="str">
        <f aca="false">IF(H182="","Not mapped","Mapped")</f>
        <v>Mapped</v>
      </c>
      <c r="J182" s="6"/>
    </row>
    <row r="183" customFormat="false" ht="15" hidden="false" customHeight="true" outlineLevel="0" collapsed="false">
      <c r="A183" s="6" t="s">
        <v>521</v>
      </c>
      <c r="B183" s="6" t="s">
        <v>522</v>
      </c>
      <c r="C183" s="6" t="s">
        <v>503</v>
      </c>
      <c r="D183" s="6" t="s">
        <v>27</v>
      </c>
      <c r="E183" s="6" t="s">
        <v>41</v>
      </c>
      <c r="F183" s="6" t="s">
        <v>29</v>
      </c>
      <c r="G183" s="6" t="s">
        <v>29</v>
      </c>
      <c r="H183" s="7" t="s">
        <v>523</v>
      </c>
      <c r="I183" s="6" t="str">
        <f aca="false">IF(H183="","Not mapped","Mapped")</f>
        <v>Mapped</v>
      </c>
      <c r="J183" s="6"/>
    </row>
    <row r="184" customFormat="false" ht="15" hidden="false" customHeight="true" outlineLevel="0" collapsed="false">
      <c r="A184" s="6" t="s">
        <v>524</v>
      </c>
      <c r="B184" s="6" t="s">
        <v>525</v>
      </c>
      <c r="C184" s="6" t="s">
        <v>503</v>
      </c>
      <c r="D184" s="6" t="s">
        <v>27</v>
      </c>
      <c r="E184" s="6" t="s">
        <v>41</v>
      </c>
      <c r="F184" s="6" t="s">
        <v>29</v>
      </c>
      <c r="G184" s="6" t="s">
        <v>29</v>
      </c>
      <c r="H184" s="7" t="s">
        <v>523</v>
      </c>
      <c r="I184" s="6" t="str">
        <f aca="false">IF(H184="","Not mapped","Mapped")</f>
        <v>Mapped</v>
      </c>
      <c r="J184" s="6"/>
    </row>
    <row r="185" customFormat="false" ht="23.25" hidden="false" customHeight="true" outlineLevel="0" collapsed="false">
      <c r="A185" s="6" t="s">
        <v>526</v>
      </c>
      <c r="B185" s="6" t="s">
        <v>527</v>
      </c>
      <c r="C185" s="6" t="s">
        <v>503</v>
      </c>
      <c r="D185" s="6" t="s">
        <v>27</v>
      </c>
      <c r="E185" s="6" t="s">
        <v>28</v>
      </c>
      <c r="F185" s="6" t="s">
        <v>29</v>
      </c>
      <c r="G185" s="6" t="s">
        <v>29</v>
      </c>
      <c r="H185" s="7" t="s">
        <v>528</v>
      </c>
      <c r="I185" s="6" t="str">
        <f aca="false">IF(H185="","Not mapped","Mapped")</f>
        <v>Mapped</v>
      </c>
      <c r="J185" s="6"/>
    </row>
    <row r="186" customFormat="false" ht="23.25" hidden="false" customHeight="true" outlineLevel="0" collapsed="false">
      <c r="A186" s="6" t="s">
        <v>529</v>
      </c>
      <c r="B186" s="6" t="s">
        <v>530</v>
      </c>
      <c r="C186" s="6" t="s">
        <v>503</v>
      </c>
      <c r="D186" s="6" t="s">
        <v>27</v>
      </c>
      <c r="E186" s="6" t="s">
        <v>37</v>
      </c>
      <c r="F186" s="6" t="s">
        <v>29</v>
      </c>
      <c r="G186" s="6" t="s">
        <v>29</v>
      </c>
      <c r="H186" s="7" t="s">
        <v>528</v>
      </c>
      <c r="I186" s="6" t="str">
        <f aca="false">IF(H186="","Not mapped","Mapped")</f>
        <v>Mapped</v>
      </c>
      <c r="J186" s="6"/>
    </row>
    <row r="187" customFormat="false" ht="23.25" hidden="false" customHeight="true" outlineLevel="0" collapsed="false">
      <c r="A187" s="6" t="s">
        <v>531</v>
      </c>
      <c r="B187" s="6" t="s">
        <v>532</v>
      </c>
      <c r="C187" s="6" t="s">
        <v>503</v>
      </c>
      <c r="D187" s="6" t="s">
        <v>36</v>
      </c>
      <c r="E187" s="6" t="s">
        <v>37</v>
      </c>
      <c r="F187" s="6" t="s">
        <v>29</v>
      </c>
      <c r="G187" s="6" t="s">
        <v>29</v>
      </c>
      <c r="H187" s="7"/>
      <c r="I187" s="6" t="str">
        <f aca="false">IF(H187="","Not mapped","Mapped")</f>
        <v>Not mapped</v>
      </c>
      <c r="J187" s="6" t="s">
        <v>84</v>
      </c>
    </row>
    <row r="188" customFormat="false" ht="15" hidden="false" customHeight="true" outlineLevel="0" collapsed="false">
      <c r="A188" s="6" t="s">
        <v>533</v>
      </c>
      <c r="B188" s="6" t="s">
        <v>534</v>
      </c>
      <c r="C188" s="6" t="s">
        <v>503</v>
      </c>
      <c r="D188" s="6" t="s">
        <v>36</v>
      </c>
      <c r="E188" s="6" t="s">
        <v>37</v>
      </c>
      <c r="F188" s="6" t="s">
        <v>29</v>
      </c>
      <c r="G188" s="6" t="s">
        <v>29</v>
      </c>
      <c r="H188" s="7"/>
      <c r="I188" s="6" t="str">
        <f aca="false">IF(H188="","Not mapped","Mapped")</f>
        <v>Not mapped</v>
      </c>
      <c r="J188" s="6"/>
    </row>
    <row r="189" customFormat="false" ht="23.25" hidden="false" customHeight="true" outlineLevel="0" collapsed="false">
      <c r="A189" s="6" t="s">
        <v>535</v>
      </c>
      <c r="B189" s="6" t="s">
        <v>536</v>
      </c>
      <c r="C189" s="6" t="s">
        <v>503</v>
      </c>
      <c r="D189" s="6" t="s">
        <v>36</v>
      </c>
      <c r="E189" s="6" t="s">
        <v>37</v>
      </c>
      <c r="F189" s="6" t="s">
        <v>29</v>
      </c>
      <c r="G189" s="6" t="s">
        <v>29</v>
      </c>
      <c r="H189" s="7"/>
      <c r="I189" s="6" t="str">
        <f aca="false">IF(H189="","Not mapped","Mapped")</f>
        <v>Not mapped</v>
      </c>
      <c r="J189" s="6" t="s">
        <v>84</v>
      </c>
    </row>
    <row r="190" customFormat="false" ht="15" hidden="false" customHeight="true" outlineLevel="0" collapsed="false">
      <c r="A190" s="6" t="s">
        <v>537</v>
      </c>
      <c r="B190" s="6" t="s">
        <v>538</v>
      </c>
      <c r="C190" s="6" t="s">
        <v>503</v>
      </c>
      <c r="D190" s="6" t="s">
        <v>36</v>
      </c>
      <c r="E190" s="6" t="s">
        <v>37</v>
      </c>
      <c r="F190" s="6" t="s">
        <v>29</v>
      </c>
      <c r="G190" s="6" t="s">
        <v>29</v>
      </c>
      <c r="H190" s="7"/>
      <c r="I190" s="6" t="str">
        <f aca="false">IF(H190="","Not mapped","Mapped")</f>
        <v>Not mapped</v>
      </c>
      <c r="J190" s="6"/>
    </row>
    <row r="191" customFormat="false" ht="15" hidden="false" customHeight="true" outlineLevel="0" collapsed="false">
      <c r="A191" s="6" t="s">
        <v>539</v>
      </c>
      <c r="B191" s="6" t="s">
        <v>540</v>
      </c>
      <c r="C191" s="6" t="s">
        <v>503</v>
      </c>
      <c r="D191" s="6" t="s">
        <v>27</v>
      </c>
      <c r="E191" s="6" t="s">
        <v>41</v>
      </c>
      <c r="F191" s="6" t="s">
        <v>29</v>
      </c>
      <c r="G191" s="6" t="s">
        <v>29</v>
      </c>
      <c r="H191" s="7"/>
      <c r="I191" s="6" t="str">
        <f aca="false">IF(H191="","Not mapped","Mapped")</f>
        <v>Not mapped</v>
      </c>
      <c r="J191" s="6" t="s">
        <v>541</v>
      </c>
    </row>
    <row r="192" customFormat="false" ht="15" hidden="false" customHeight="true" outlineLevel="0" collapsed="false">
      <c r="A192" s="6" t="s">
        <v>542</v>
      </c>
      <c r="B192" s="6" t="s">
        <v>543</v>
      </c>
      <c r="C192" s="6" t="s">
        <v>503</v>
      </c>
      <c r="D192" s="6" t="s">
        <v>27</v>
      </c>
      <c r="E192" s="6" t="s">
        <v>37</v>
      </c>
      <c r="F192" s="6" t="s">
        <v>29</v>
      </c>
      <c r="G192" s="6" t="s">
        <v>29</v>
      </c>
      <c r="H192" s="7"/>
      <c r="I192" s="6" t="str">
        <f aca="false">IF(H192="","Not mapped","Mapped")</f>
        <v>Not mapped</v>
      </c>
      <c r="J192" s="6" t="s">
        <v>544</v>
      </c>
    </row>
    <row r="193" customFormat="false" ht="15" hidden="false" customHeight="true" outlineLevel="0" collapsed="false">
      <c r="A193" s="6" t="s">
        <v>545</v>
      </c>
      <c r="B193" s="6" t="s">
        <v>546</v>
      </c>
      <c r="C193" s="6" t="s">
        <v>503</v>
      </c>
      <c r="D193" s="6" t="s">
        <v>36</v>
      </c>
      <c r="E193" s="6" t="s">
        <v>37</v>
      </c>
      <c r="F193" s="6" t="s">
        <v>29</v>
      </c>
      <c r="G193" s="6" t="s">
        <v>29</v>
      </c>
      <c r="H193" s="7"/>
      <c r="I193" s="6" t="str">
        <f aca="false">IF(H193="","Not mapped","Mapped")</f>
        <v>Not mapped</v>
      </c>
      <c r="J193" s="6"/>
    </row>
    <row r="194" customFormat="false" ht="15" hidden="false" customHeight="true" outlineLevel="0" collapsed="false">
      <c r="A194" s="6" t="s">
        <v>547</v>
      </c>
      <c r="B194" s="6" t="s">
        <v>548</v>
      </c>
      <c r="C194" s="6" t="s">
        <v>503</v>
      </c>
      <c r="D194" s="6" t="s">
        <v>36</v>
      </c>
      <c r="E194" s="6" t="s">
        <v>37</v>
      </c>
      <c r="F194" s="6" t="s">
        <v>29</v>
      </c>
      <c r="G194" s="6" t="s">
        <v>29</v>
      </c>
      <c r="H194" s="7"/>
      <c r="I194" s="6" t="str">
        <f aca="false">IF(H194="","Not mapped","Mapped")</f>
        <v>Not mapped</v>
      </c>
      <c r="J194" s="6"/>
    </row>
    <row r="195" customFormat="false" ht="23.25" hidden="false" customHeight="true" outlineLevel="0" collapsed="false">
      <c r="A195" s="6" t="s">
        <v>549</v>
      </c>
      <c r="B195" s="6" t="s">
        <v>550</v>
      </c>
      <c r="C195" s="6" t="s">
        <v>503</v>
      </c>
      <c r="D195" s="6" t="s">
        <v>27</v>
      </c>
      <c r="E195" s="6" t="s">
        <v>37</v>
      </c>
      <c r="F195" s="6" t="s">
        <v>29</v>
      </c>
      <c r="G195" s="6" t="s">
        <v>29</v>
      </c>
      <c r="H195" s="7" t="s">
        <v>551</v>
      </c>
      <c r="I195" s="6" t="str">
        <f aca="false">IF(H195="","Not mapped","Mapped")</f>
        <v>Mapped</v>
      </c>
      <c r="J195" s="6"/>
    </row>
    <row r="196" customFormat="false" ht="23.25" hidden="false" customHeight="true" outlineLevel="0" collapsed="false">
      <c r="A196" s="6" t="s">
        <v>552</v>
      </c>
      <c r="B196" s="6" t="s">
        <v>553</v>
      </c>
      <c r="C196" s="6" t="s">
        <v>503</v>
      </c>
      <c r="D196" s="6" t="s">
        <v>36</v>
      </c>
      <c r="E196" s="6" t="s">
        <v>37</v>
      </c>
      <c r="F196" s="6" t="s">
        <v>81</v>
      </c>
      <c r="G196" s="6" t="s">
        <v>81</v>
      </c>
      <c r="H196" s="7" t="s">
        <v>551</v>
      </c>
      <c r="I196" s="6" t="str">
        <f aca="false">IF(H196="","Not mapped","Mapped")</f>
        <v>Mapped</v>
      </c>
      <c r="J196" s="6"/>
    </row>
    <row r="197" customFormat="false" ht="23.25" hidden="false" customHeight="true" outlineLevel="0" collapsed="false">
      <c r="A197" s="6" t="s">
        <v>554</v>
      </c>
      <c r="B197" s="6" t="s">
        <v>555</v>
      </c>
      <c r="C197" s="6" t="s">
        <v>503</v>
      </c>
      <c r="D197" s="6" t="s">
        <v>218</v>
      </c>
      <c r="E197" s="6" t="s">
        <v>102</v>
      </c>
      <c r="F197" s="6" t="s">
        <v>81</v>
      </c>
      <c r="G197" s="6" t="s">
        <v>81</v>
      </c>
      <c r="H197" s="7"/>
      <c r="I197" s="6" t="str">
        <f aca="false">IF(H197="","Not mapped","Mapped")</f>
        <v>Not mapped</v>
      </c>
      <c r="J197" s="6"/>
    </row>
    <row r="198" customFormat="false" ht="23.25" hidden="false" customHeight="true" outlineLevel="0" collapsed="false">
      <c r="A198" s="6" t="s">
        <v>556</v>
      </c>
      <c r="B198" s="6" t="s">
        <v>557</v>
      </c>
      <c r="C198" s="6" t="s">
        <v>503</v>
      </c>
      <c r="D198" s="6" t="s">
        <v>36</v>
      </c>
      <c r="E198" s="6" t="s">
        <v>37</v>
      </c>
      <c r="F198" s="6" t="s">
        <v>81</v>
      </c>
      <c r="G198" s="6" t="s">
        <v>81</v>
      </c>
      <c r="H198" s="7"/>
      <c r="I198" s="6" t="str">
        <f aca="false">IF(H198="","Not mapped","Mapped")</f>
        <v>Not mapped</v>
      </c>
      <c r="J198" s="6"/>
    </row>
    <row r="199" customFormat="false" ht="15" hidden="false" customHeight="true" outlineLevel="0" collapsed="false">
      <c r="A199" s="6" t="s">
        <v>558</v>
      </c>
      <c r="B199" s="6" t="s">
        <v>559</v>
      </c>
      <c r="C199" s="6" t="s">
        <v>503</v>
      </c>
      <c r="D199" s="6" t="s">
        <v>36</v>
      </c>
      <c r="E199" s="6" t="s">
        <v>37</v>
      </c>
      <c r="F199" s="6" t="s">
        <v>29</v>
      </c>
      <c r="G199" s="6" t="s">
        <v>29</v>
      </c>
      <c r="H199" s="7"/>
      <c r="I199" s="6" t="str">
        <f aca="false">IF(H199="","Not mapped","Mapped")</f>
        <v>Not mapped</v>
      </c>
      <c r="J199" s="6"/>
    </row>
    <row r="200" customFormat="false" ht="23.25" hidden="false" customHeight="true" outlineLevel="0" collapsed="false">
      <c r="A200" s="6" t="s">
        <v>560</v>
      </c>
      <c r="B200" s="6" t="s">
        <v>561</v>
      </c>
      <c r="C200" s="6" t="s">
        <v>503</v>
      </c>
      <c r="D200" s="6" t="s">
        <v>36</v>
      </c>
      <c r="E200" s="6" t="s">
        <v>37</v>
      </c>
      <c r="F200" s="6" t="s">
        <v>81</v>
      </c>
      <c r="G200" s="6" t="s">
        <v>81</v>
      </c>
      <c r="H200" s="7"/>
      <c r="I200" s="6" t="str">
        <f aca="false">IF(H200="","Not mapped","Mapped")</f>
        <v>Not mapped</v>
      </c>
      <c r="J200" s="6"/>
    </row>
    <row r="201" customFormat="false" ht="23.25" hidden="false" customHeight="true" outlineLevel="0" collapsed="false">
      <c r="A201" s="6" t="s">
        <v>562</v>
      </c>
      <c r="B201" s="6" t="s">
        <v>563</v>
      </c>
      <c r="C201" s="6" t="s">
        <v>503</v>
      </c>
      <c r="D201" s="6" t="s">
        <v>36</v>
      </c>
      <c r="E201" s="6" t="s">
        <v>37</v>
      </c>
      <c r="F201" s="6" t="s">
        <v>29</v>
      </c>
      <c r="G201" s="6" t="s">
        <v>29</v>
      </c>
      <c r="H201" s="7"/>
      <c r="I201" s="6" t="str">
        <f aca="false">IF(H201="","Not mapped","Mapped")</f>
        <v>Not mapped</v>
      </c>
      <c r="J201" s="6" t="s">
        <v>84</v>
      </c>
    </row>
    <row r="202" customFormat="false" ht="15" hidden="false" customHeight="true" outlineLevel="0" collapsed="false">
      <c r="A202" s="6" t="s">
        <v>564</v>
      </c>
      <c r="B202" s="6" t="s">
        <v>565</v>
      </c>
      <c r="C202" s="6" t="s">
        <v>503</v>
      </c>
      <c r="D202" s="6" t="s">
        <v>27</v>
      </c>
      <c r="E202" s="6" t="s">
        <v>37</v>
      </c>
      <c r="F202" s="6" t="s">
        <v>29</v>
      </c>
      <c r="G202" s="6" t="s">
        <v>29</v>
      </c>
      <c r="H202" s="7" t="s">
        <v>566</v>
      </c>
      <c r="I202" s="6" t="str">
        <f aca="false">IF(H202="","Not mapped","Mapped")</f>
        <v>Mapped</v>
      </c>
      <c r="J202" s="6"/>
    </row>
    <row r="203" customFormat="false" ht="15" hidden="false" customHeight="true" outlineLevel="0" collapsed="false">
      <c r="A203" s="6" t="s">
        <v>567</v>
      </c>
      <c r="B203" s="6" t="s">
        <v>568</v>
      </c>
      <c r="C203" s="6" t="s">
        <v>503</v>
      </c>
      <c r="D203" s="6" t="s">
        <v>27</v>
      </c>
      <c r="E203" s="6" t="s">
        <v>41</v>
      </c>
      <c r="F203" s="6" t="s">
        <v>29</v>
      </c>
      <c r="G203" s="6" t="s">
        <v>29</v>
      </c>
      <c r="H203" s="7" t="s">
        <v>569</v>
      </c>
      <c r="I203" s="6" t="str">
        <f aca="false">IF(H203="","Not mapped","Mapped")</f>
        <v>Mapped</v>
      </c>
      <c r="J203" s="6"/>
    </row>
    <row r="204" customFormat="false" ht="15" hidden="false" customHeight="true" outlineLevel="0" collapsed="false">
      <c r="A204" s="6" t="s">
        <v>570</v>
      </c>
      <c r="B204" s="6" t="s">
        <v>571</v>
      </c>
      <c r="C204" s="6" t="s">
        <v>572</v>
      </c>
      <c r="D204" s="6" t="s">
        <v>27</v>
      </c>
      <c r="E204" s="6" t="s">
        <v>41</v>
      </c>
      <c r="F204" s="6" t="s">
        <v>29</v>
      </c>
      <c r="G204" s="6" t="s">
        <v>29</v>
      </c>
      <c r="H204" s="7"/>
      <c r="I204" s="6" t="str">
        <f aca="false">IF(H204="","Not mapped","Mapped")</f>
        <v>Not mapped</v>
      </c>
      <c r="J204" s="6" t="s">
        <v>573</v>
      </c>
    </row>
    <row r="205" customFormat="false" ht="90.75" hidden="false" customHeight="true" outlineLevel="0" collapsed="false">
      <c r="A205" s="6" t="s">
        <v>574</v>
      </c>
      <c r="B205" s="6" t="s">
        <v>575</v>
      </c>
      <c r="C205" s="6" t="s">
        <v>572</v>
      </c>
      <c r="D205" s="6" t="s">
        <v>27</v>
      </c>
      <c r="E205" s="6" t="s">
        <v>41</v>
      </c>
      <c r="F205" s="6" t="s">
        <v>29</v>
      </c>
      <c r="G205" s="6" t="s">
        <v>29</v>
      </c>
      <c r="H205" s="7" t="s">
        <v>576</v>
      </c>
      <c r="I205" s="6" t="str">
        <f aca="false">IF(H205="","Not mapped","Mapped")</f>
        <v>Mapped</v>
      </c>
      <c r="J205" s="6"/>
    </row>
    <row r="206" customFormat="false" ht="90.75" hidden="false" customHeight="true" outlineLevel="0" collapsed="false">
      <c r="A206" s="6" t="s">
        <v>577</v>
      </c>
      <c r="B206" s="6" t="s">
        <v>578</v>
      </c>
      <c r="C206" s="6" t="s">
        <v>572</v>
      </c>
      <c r="D206" s="6" t="s">
        <v>27</v>
      </c>
      <c r="E206" s="6" t="s">
        <v>41</v>
      </c>
      <c r="F206" s="6" t="s">
        <v>29</v>
      </c>
      <c r="G206" s="6" t="s">
        <v>29</v>
      </c>
      <c r="H206" s="7" t="s">
        <v>579</v>
      </c>
      <c r="I206" s="6" t="str">
        <f aca="false">IF(H206="","Not mapped","Mapped")</f>
        <v>Mapped</v>
      </c>
      <c r="J206" s="6"/>
    </row>
    <row r="207" customFormat="false" ht="57" hidden="false" customHeight="true" outlineLevel="0" collapsed="false">
      <c r="A207" s="6" t="s">
        <v>580</v>
      </c>
      <c r="B207" s="6" t="s">
        <v>581</v>
      </c>
      <c r="C207" s="6" t="s">
        <v>572</v>
      </c>
      <c r="D207" s="6" t="s">
        <v>27</v>
      </c>
      <c r="E207" s="6" t="s">
        <v>41</v>
      </c>
      <c r="F207" s="6" t="s">
        <v>29</v>
      </c>
      <c r="G207" s="6" t="s">
        <v>29</v>
      </c>
      <c r="H207" s="7" t="s">
        <v>582</v>
      </c>
      <c r="I207" s="6" t="str">
        <f aca="false">IF(H207="","Not mapped","Mapped")</f>
        <v>Mapped</v>
      </c>
      <c r="J207" s="6"/>
    </row>
    <row r="208" customFormat="false" ht="90.75" hidden="false" customHeight="true" outlineLevel="0" collapsed="false">
      <c r="A208" s="6" t="s">
        <v>583</v>
      </c>
      <c r="B208" s="6" t="s">
        <v>584</v>
      </c>
      <c r="C208" s="6" t="s">
        <v>572</v>
      </c>
      <c r="D208" s="6" t="s">
        <v>27</v>
      </c>
      <c r="E208" s="6" t="s">
        <v>41</v>
      </c>
      <c r="F208" s="6" t="s">
        <v>29</v>
      </c>
      <c r="G208" s="6" t="s">
        <v>29</v>
      </c>
      <c r="H208" s="7" t="s">
        <v>576</v>
      </c>
      <c r="I208" s="6" t="str">
        <f aca="false">IF(H208="","Not mapped","Mapped")</f>
        <v>Mapped</v>
      </c>
      <c r="J208" s="6"/>
    </row>
    <row r="209" customFormat="false" ht="23.25" hidden="false" customHeight="true" outlineLevel="0" collapsed="false">
      <c r="A209" s="6" t="s">
        <v>585</v>
      </c>
      <c r="B209" s="6" t="s">
        <v>586</v>
      </c>
      <c r="C209" s="6" t="s">
        <v>572</v>
      </c>
      <c r="D209" s="6" t="s">
        <v>27</v>
      </c>
      <c r="E209" s="6" t="s">
        <v>41</v>
      </c>
      <c r="F209" s="6" t="s">
        <v>81</v>
      </c>
      <c r="G209" s="6" t="s">
        <v>81</v>
      </c>
      <c r="H209" s="7"/>
      <c r="I209" s="6" t="str">
        <f aca="false">IF(H209="","Not mapped","Mapped")</f>
        <v>Not mapped</v>
      </c>
      <c r="J209" s="6"/>
    </row>
    <row r="210" customFormat="false" ht="23.25" hidden="false" customHeight="true" outlineLevel="0" collapsed="false">
      <c r="A210" s="6" t="s">
        <v>587</v>
      </c>
      <c r="B210" s="6" t="s">
        <v>588</v>
      </c>
      <c r="C210" s="6" t="s">
        <v>572</v>
      </c>
      <c r="D210" s="6" t="s">
        <v>27</v>
      </c>
      <c r="E210" s="6" t="s">
        <v>37</v>
      </c>
      <c r="F210" s="6" t="s">
        <v>81</v>
      </c>
      <c r="G210" s="6" t="s">
        <v>81</v>
      </c>
      <c r="H210" s="7"/>
      <c r="I210" s="6" t="str">
        <f aca="false">IF(H210="","Not mapped","Mapped")</f>
        <v>Not mapped</v>
      </c>
      <c r="J210" s="6"/>
    </row>
    <row r="211" customFormat="false" ht="15" hidden="false" customHeight="true" outlineLevel="0" collapsed="false">
      <c r="A211" s="6" t="s">
        <v>589</v>
      </c>
      <c r="B211" s="6" t="s">
        <v>590</v>
      </c>
      <c r="C211" s="6" t="s">
        <v>572</v>
      </c>
      <c r="D211" s="6" t="s">
        <v>27</v>
      </c>
      <c r="E211" s="6" t="s">
        <v>37</v>
      </c>
      <c r="F211" s="6" t="s">
        <v>29</v>
      </c>
      <c r="G211" s="6" t="s">
        <v>29</v>
      </c>
      <c r="H211" s="7"/>
      <c r="I211" s="6" t="str">
        <f aca="false">IF(H211="","Not mapped","Mapped")</f>
        <v>Not mapped</v>
      </c>
      <c r="J211" s="6" t="s">
        <v>591</v>
      </c>
    </row>
    <row r="212" customFormat="false" ht="15" hidden="false" customHeight="true" outlineLevel="0" collapsed="false">
      <c r="A212" s="6" t="s">
        <v>592</v>
      </c>
      <c r="B212" s="6" t="s">
        <v>593</v>
      </c>
      <c r="C212" s="6" t="s">
        <v>572</v>
      </c>
      <c r="D212" s="6" t="s">
        <v>27</v>
      </c>
      <c r="E212" s="6" t="s">
        <v>37</v>
      </c>
      <c r="F212" s="6" t="s">
        <v>29</v>
      </c>
      <c r="G212" s="6" t="s">
        <v>29</v>
      </c>
      <c r="H212" s="7"/>
      <c r="I212" s="6" t="str">
        <f aca="false">IF(H212="","Not mapped","Mapped")</f>
        <v>Not mapped</v>
      </c>
      <c r="J212" s="6" t="s">
        <v>594</v>
      </c>
    </row>
    <row r="213" customFormat="false" ht="15" hidden="false" customHeight="true" outlineLevel="0" collapsed="false">
      <c r="A213" s="6" t="s">
        <v>595</v>
      </c>
      <c r="B213" s="6" t="s">
        <v>596</v>
      </c>
      <c r="C213" s="6" t="s">
        <v>572</v>
      </c>
      <c r="D213" s="6" t="s">
        <v>27</v>
      </c>
      <c r="E213" s="6" t="s">
        <v>41</v>
      </c>
      <c r="F213" s="6" t="s">
        <v>29</v>
      </c>
      <c r="G213" s="6" t="s">
        <v>29</v>
      </c>
      <c r="H213" s="7"/>
      <c r="I213" s="6" t="str">
        <f aca="false">IF(H213="","Not mapped","Mapped")</f>
        <v>Not mapped</v>
      </c>
      <c r="J213" s="6" t="s">
        <v>597</v>
      </c>
    </row>
    <row r="214" customFormat="false" ht="15" hidden="false" customHeight="true" outlineLevel="0" collapsed="false">
      <c r="A214" s="6" t="s">
        <v>598</v>
      </c>
      <c r="B214" s="6" t="s">
        <v>599</v>
      </c>
      <c r="C214" s="6" t="s">
        <v>572</v>
      </c>
      <c r="D214" s="6" t="s">
        <v>27</v>
      </c>
      <c r="E214" s="6" t="s">
        <v>41</v>
      </c>
      <c r="F214" s="6" t="s">
        <v>29</v>
      </c>
      <c r="G214" s="6" t="s">
        <v>29</v>
      </c>
      <c r="H214" s="7" t="s">
        <v>600</v>
      </c>
      <c r="I214" s="6" t="str">
        <f aca="false">IF(H214="","Not mapped","Mapped")</f>
        <v>Mapped</v>
      </c>
      <c r="J214" s="6" t="s">
        <v>601</v>
      </c>
    </row>
    <row r="215" customFormat="false" ht="15" hidden="false" customHeight="true" outlineLevel="0" collapsed="false">
      <c r="A215" s="6" t="s">
        <v>602</v>
      </c>
      <c r="B215" s="6" t="s">
        <v>603</v>
      </c>
      <c r="C215" s="6" t="s">
        <v>572</v>
      </c>
      <c r="D215" s="6" t="s">
        <v>27</v>
      </c>
      <c r="E215" s="6" t="s">
        <v>37</v>
      </c>
      <c r="F215" s="6" t="s">
        <v>29</v>
      </c>
      <c r="G215" s="6" t="s">
        <v>29</v>
      </c>
      <c r="H215" s="7"/>
      <c r="I215" s="6" t="str">
        <f aca="false">IF(H215="","Not mapped","Mapped")</f>
        <v>Not mapped</v>
      </c>
      <c r="J215" s="6" t="s">
        <v>604</v>
      </c>
    </row>
    <row r="216" customFormat="false" ht="15" hidden="false" customHeight="true" outlineLevel="0" collapsed="false">
      <c r="A216" s="6" t="s">
        <v>605</v>
      </c>
      <c r="B216" s="6" t="s">
        <v>606</v>
      </c>
      <c r="C216" s="6" t="s">
        <v>572</v>
      </c>
      <c r="D216" s="6" t="s">
        <v>36</v>
      </c>
      <c r="E216" s="6" t="s">
        <v>37</v>
      </c>
      <c r="F216" s="6" t="s">
        <v>29</v>
      </c>
      <c r="G216" s="6" t="s">
        <v>29</v>
      </c>
      <c r="H216" s="7"/>
      <c r="I216" s="6" t="str">
        <f aca="false">IF(H216="","Not mapped","Mapped")</f>
        <v>Not mapped</v>
      </c>
      <c r="J216" s="6"/>
    </row>
    <row r="217" customFormat="false" ht="15" hidden="false" customHeight="true" outlineLevel="0" collapsed="false">
      <c r="A217" s="6" t="s">
        <v>607</v>
      </c>
      <c r="B217" s="6" t="s">
        <v>608</v>
      </c>
      <c r="C217" s="6" t="s">
        <v>572</v>
      </c>
      <c r="D217" s="6" t="s">
        <v>27</v>
      </c>
      <c r="E217" s="6" t="s">
        <v>37</v>
      </c>
      <c r="F217" s="6" t="s">
        <v>29</v>
      </c>
      <c r="G217" s="6" t="s">
        <v>29</v>
      </c>
      <c r="H217" s="7"/>
      <c r="I217" s="6" t="str">
        <f aca="false">IF(H217="","Not mapped","Mapped")</f>
        <v>Not mapped</v>
      </c>
      <c r="J217" s="6" t="s">
        <v>609</v>
      </c>
    </row>
    <row r="218" customFormat="false" ht="15" hidden="false" customHeight="true" outlineLevel="0" collapsed="false">
      <c r="A218" s="6" t="s">
        <v>610</v>
      </c>
      <c r="B218" s="6" t="s">
        <v>611</v>
      </c>
      <c r="C218" s="6" t="s">
        <v>572</v>
      </c>
      <c r="D218" s="6" t="s">
        <v>27</v>
      </c>
      <c r="E218" s="6" t="s">
        <v>41</v>
      </c>
      <c r="F218" s="6" t="s">
        <v>29</v>
      </c>
      <c r="G218" s="6" t="s">
        <v>29</v>
      </c>
      <c r="H218" s="7"/>
      <c r="I218" s="6" t="str">
        <f aca="false">IF(H218="","Not mapped","Mapped")</f>
        <v>Not mapped</v>
      </c>
      <c r="J218" s="6" t="s">
        <v>612</v>
      </c>
    </row>
    <row r="219" customFormat="false" ht="15" hidden="false" customHeight="true" outlineLevel="0" collapsed="false">
      <c r="A219" s="6" t="s">
        <v>613</v>
      </c>
      <c r="B219" s="6" t="s">
        <v>614</v>
      </c>
      <c r="C219" s="6" t="s">
        <v>572</v>
      </c>
      <c r="D219" s="6" t="s">
        <v>36</v>
      </c>
      <c r="E219" s="6" t="s">
        <v>37</v>
      </c>
      <c r="F219" s="6" t="s">
        <v>29</v>
      </c>
      <c r="G219" s="6" t="s">
        <v>29</v>
      </c>
      <c r="H219" s="7"/>
      <c r="I219" s="6" t="str">
        <f aca="false">IF(H219="","Not mapped","Mapped")</f>
        <v>Not mapped</v>
      </c>
      <c r="J219" s="6"/>
    </row>
    <row r="220" customFormat="false" ht="23.25" hidden="false" customHeight="true" outlineLevel="0" collapsed="false">
      <c r="A220" s="6" t="s">
        <v>615</v>
      </c>
      <c r="B220" s="6" t="s">
        <v>616</v>
      </c>
      <c r="C220" s="6" t="s">
        <v>572</v>
      </c>
      <c r="D220" s="6" t="s">
        <v>27</v>
      </c>
      <c r="E220" s="6" t="s">
        <v>37</v>
      </c>
      <c r="F220" s="6" t="s">
        <v>81</v>
      </c>
      <c r="G220" s="6" t="s">
        <v>81</v>
      </c>
      <c r="H220" s="7"/>
      <c r="I220" s="6" t="str">
        <f aca="false">IF(H220="","Not mapped","Mapped")</f>
        <v>Not mapped</v>
      </c>
      <c r="J220" s="6"/>
    </row>
    <row r="221" customFormat="false" ht="34.5" hidden="false" customHeight="true" outlineLevel="0" collapsed="false">
      <c r="A221" s="6" t="s">
        <v>617</v>
      </c>
      <c r="B221" s="6" t="s">
        <v>618</v>
      </c>
      <c r="C221" s="6" t="s">
        <v>572</v>
      </c>
      <c r="D221" s="6" t="s">
        <v>27</v>
      </c>
      <c r="E221" s="6" t="s">
        <v>28</v>
      </c>
      <c r="F221" s="6" t="s">
        <v>226</v>
      </c>
      <c r="G221" s="6" t="s">
        <v>226</v>
      </c>
      <c r="H221" s="7" t="s">
        <v>619</v>
      </c>
      <c r="I221" s="6" t="str">
        <f aca="false">IF(H221="","Not mapped","Mapped")</f>
        <v>Mapped</v>
      </c>
      <c r="J221" s="6"/>
    </row>
    <row r="222" customFormat="false" ht="79.5" hidden="false" customHeight="true" outlineLevel="0" collapsed="false">
      <c r="A222" s="6" t="s">
        <v>620</v>
      </c>
      <c r="B222" s="6" t="s">
        <v>621</v>
      </c>
      <c r="C222" s="6" t="s">
        <v>572</v>
      </c>
      <c r="D222" s="6" t="s">
        <v>27</v>
      </c>
      <c r="E222" s="6" t="s">
        <v>28</v>
      </c>
      <c r="F222" s="6" t="s">
        <v>29</v>
      </c>
      <c r="G222" s="6" t="s">
        <v>29</v>
      </c>
      <c r="H222" s="7" t="s">
        <v>622</v>
      </c>
      <c r="I222" s="6" t="str">
        <f aca="false">IF(H222="","Not mapped","Mapped")</f>
        <v>Mapped</v>
      </c>
      <c r="J222" s="6"/>
    </row>
    <row r="223" customFormat="false" ht="15" hidden="false" customHeight="true" outlineLevel="0" collapsed="false">
      <c r="A223" s="6" t="s">
        <v>623</v>
      </c>
      <c r="B223" s="6" t="s">
        <v>624</v>
      </c>
      <c r="C223" s="6" t="s">
        <v>572</v>
      </c>
      <c r="D223" s="6" t="s">
        <v>27</v>
      </c>
      <c r="E223" s="6" t="s">
        <v>41</v>
      </c>
      <c r="F223" s="6" t="s">
        <v>29</v>
      </c>
      <c r="G223" s="6" t="s">
        <v>29</v>
      </c>
      <c r="H223" s="7"/>
      <c r="I223" s="6" t="str">
        <f aca="false">IF(H223="","Not mapped","Mapped")</f>
        <v>Not mapped</v>
      </c>
      <c r="J223" s="6" t="s">
        <v>625</v>
      </c>
    </row>
    <row r="224" customFormat="false" ht="23.25" hidden="false" customHeight="true" outlineLevel="0" collapsed="false">
      <c r="A224" s="6" t="s">
        <v>626</v>
      </c>
      <c r="B224" s="6" t="s">
        <v>627</v>
      </c>
      <c r="C224" s="6" t="s">
        <v>572</v>
      </c>
      <c r="D224" s="6" t="s">
        <v>36</v>
      </c>
      <c r="E224" s="6" t="s">
        <v>37</v>
      </c>
      <c r="F224" s="6" t="s">
        <v>29</v>
      </c>
      <c r="G224" s="6" t="s">
        <v>29</v>
      </c>
      <c r="H224" s="7" t="s">
        <v>628</v>
      </c>
      <c r="I224" s="6" t="str">
        <f aca="false">IF(H224="","Not mapped","Mapped")</f>
        <v>Mapped</v>
      </c>
      <c r="J224" s="6"/>
    </row>
    <row r="225" customFormat="false" ht="23.25" hidden="false" customHeight="true" outlineLevel="0" collapsed="false">
      <c r="A225" s="6" t="s">
        <v>629</v>
      </c>
      <c r="B225" s="6" t="s">
        <v>630</v>
      </c>
      <c r="C225" s="6" t="s">
        <v>572</v>
      </c>
      <c r="D225" s="6" t="s">
        <v>27</v>
      </c>
      <c r="E225" s="6" t="s">
        <v>28</v>
      </c>
      <c r="F225" s="6" t="s">
        <v>226</v>
      </c>
      <c r="G225" s="6" t="s">
        <v>226</v>
      </c>
      <c r="H225" s="7" t="s">
        <v>631</v>
      </c>
      <c r="I225" s="6" t="str">
        <f aca="false">IF(H225="","Not mapped","Mapped")</f>
        <v>Mapped</v>
      </c>
      <c r="J225" s="6"/>
    </row>
    <row r="226" customFormat="false" ht="15" hidden="false" customHeight="true" outlineLevel="0" collapsed="false">
      <c r="A226" s="6" t="s">
        <v>632</v>
      </c>
      <c r="B226" s="6" t="s">
        <v>633</v>
      </c>
      <c r="C226" s="6" t="s">
        <v>572</v>
      </c>
      <c r="D226" s="6" t="s">
        <v>36</v>
      </c>
      <c r="E226" s="6" t="s">
        <v>37</v>
      </c>
      <c r="F226" s="6" t="s">
        <v>29</v>
      </c>
      <c r="G226" s="6" t="s">
        <v>29</v>
      </c>
      <c r="H226" s="7"/>
      <c r="I226" s="6" t="str">
        <f aca="false">IF(H226="","Not mapped","Mapped")</f>
        <v>Not mapped</v>
      </c>
      <c r="J226" s="6" t="s">
        <v>38</v>
      </c>
    </row>
    <row r="227" customFormat="false" ht="15" hidden="false" customHeight="true" outlineLevel="0" collapsed="false">
      <c r="A227" s="6" t="s">
        <v>634</v>
      </c>
      <c r="B227" s="6" t="s">
        <v>635</v>
      </c>
      <c r="C227" s="6" t="s">
        <v>572</v>
      </c>
      <c r="D227" s="6" t="s">
        <v>27</v>
      </c>
      <c r="E227" s="6" t="s">
        <v>37</v>
      </c>
      <c r="F227" s="6" t="s">
        <v>29</v>
      </c>
      <c r="G227" s="6" t="s">
        <v>29</v>
      </c>
      <c r="H227" s="7"/>
      <c r="I227" s="6" t="str">
        <f aca="false">IF(H227="","Not mapped","Mapped")</f>
        <v>Not mapped</v>
      </c>
      <c r="J227" s="6" t="s">
        <v>213</v>
      </c>
    </row>
    <row r="228" customFormat="false" ht="23.25" hidden="false" customHeight="true" outlineLevel="0" collapsed="false">
      <c r="A228" s="6" t="s">
        <v>636</v>
      </c>
      <c r="B228" s="6" t="s">
        <v>637</v>
      </c>
      <c r="C228" s="6" t="s">
        <v>572</v>
      </c>
      <c r="D228" s="6" t="s">
        <v>27</v>
      </c>
      <c r="E228" s="6" t="s">
        <v>28</v>
      </c>
      <c r="F228" s="6" t="s">
        <v>29</v>
      </c>
      <c r="G228" s="6" t="s">
        <v>29</v>
      </c>
      <c r="H228" s="7" t="s">
        <v>638</v>
      </c>
      <c r="I228" s="6" t="str">
        <f aca="false">IF(H228="","Not mapped","Mapped")</f>
        <v>Mapped</v>
      </c>
      <c r="J228" s="6"/>
    </row>
    <row r="229" customFormat="false" ht="23.25" hidden="false" customHeight="true" outlineLevel="0" collapsed="false">
      <c r="A229" s="6" t="s">
        <v>639</v>
      </c>
      <c r="B229" s="6" t="s">
        <v>640</v>
      </c>
      <c r="C229" s="6" t="s">
        <v>572</v>
      </c>
      <c r="D229" s="6" t="s">
        <v>27</v>
      </c>
      <c r="E229" s="6" t="s">
        <v>28</v>
      </c>
      <c r="F229" s="6" t="s">
        <v>29</v>
      </c>
      <c r="G229" s="6" t="s">
        <v>29</v>
      </c>
      <c r="H229" s="7" t="s">
        <v>641</v>
      </c>
      <c r="I229" s="6" t="str">
        <f aca="false">IF(H229="","Not mapped","Mapped")</f>
        <v>Mapped</v>
      </c>
      <c r="J229" s="6"/>
    </row>
  </sheetData>
  <autoFilter ref="A1:J2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"/>
    <col collapsed="false" customWidth="true" hidden="false" outlineLevel="0" max="3" min="3" style="1" width="46"/>
    <col collapsed="false" customWidth="true" hidden="false" outlineLevel="0" max="4" min="4" style="1" width="9"/>
    <col collapsed="false" customWidth="true" hidden="false" outlineLevel="0" max="5" min="5" style="1" width="34"/>
    <col collapsed="false" customWidth="true" hidden="false" outlineLevel="0" max="6" min="6" style="1" width="9"/>
    <col collapsed="false" customWidth="true" hidden="false" outlineLevel="0" max="7" min="7" style="1" width="14"/>
  </cols>
  <sheetData>
    <row r="1" customFormat="false" ht="15" hidden="false" customHeight="true" outlineLevel="0" collapsed="false">
      <c r="A1" s="5" t="s">
        <v>642</v>
      </c>
      <c r="B1" s="5" t="s">
        <v>643</v>
      </c>
      <c r="C1" s="5" t="s">
        <v>644</v>
      </c>
      <c r="D1" s="5" t="s">
        <v>16</v>
      </c>
      <c r="E1" s="5" t="s">
        <v>645</v>
      </c>
      <c r="F1" s="5" t="s">
        <v>646</v>
      </c>
      <c r="G1" s="5" t="s">
        <v>647</v>
      </c>
    </row>
    <row r="2" customFormat="false" ht="23.25" hidden="false" customHeight="true" outlineLevel="0" collapsed="false">
      <c r="A2" s="6" t="s">
        <v>648</v>
      </c>
      <c r="B2" s="6" t="s">
        <v>649</v>
      </c>
      <c r="C2" s="6" t="s">
        <v>650</v>
      </c>
      <c r="D2" s="6" t="s">
        <v>651</v>
      </c>
      <c r="E2" s="6" t="s">
        <v>652</v>
      </c>
      <c r="F2" s="6" t="n">
        <v>1</v>
      </c>
      <c r="G2" s="6"/>
    </row>
    <row r="3" customFormat="false" ht="23.25" hidden="false" customHeight="true" outlineLevel="0" collapsed="false">
      <c r="A3" s="6" t="s">
        <v>653</v>
      </c>
      <c r="B3" s="6" t="s">
        <v>654</v>
      </c>
      <c r="C3" s="6" t="s">
        <v>650</v>
      </c>
      <c r="D3" s="6" t="s">
        <v>651</v>
      </c>
      <c r="E3" s="6" t="s">
        <v>652</v>
      </c>
      <c r="F3" s="6" t="n">
        <v>7</v>
      </c>
      <c r="G3" s="6"/>
    </row>
    <row r="4" customFormat="false" ht="23.25" hidden="false" customHeight="true" outlineLevel="0" collapsed="false">
      <c r="A4" s="6" t="s">
        <v>655</v>
      </c>
      <c r="B4" s="6" t="s">
        <v>656</v>
      </c>
      <c r="C4" s="6" t="s">
        <v>650</v>
      </c>
      <c r="D4" s="6" t="s">
        <v>651</v>
      </c>
      <c r="E4" s="6" t="s">
        <v>652</v>
      </c>
      <c r="F4" s="6" t="n">
        <v>1</v>
      </c>
      <c r="G4" s="6"/>
    </row>
    <row r="5" customFormat="false" ht="23.25" hidden="false" customHeight="true" outlineLevel="0" collapsed="false">
      <c r="A5" s="6" t="s">
        <v>657</v>
      </c>
      <c r="B5" s="6" t="s">
        <v>658</v>
      </c>
      <c r="C5" s="6" t="s">
        <v>650</v>
      </c>
      <c r="D5" s="6" t="s">
        <v>651</v>
      </c>
      <c r="E5" s="6" t="s">
        <v>652</v>
      </c>
      <c r="F5" s="6" t="n">
        <v>1</v>
      </c>
      <c r="G5" s="6"/>
    </row>
    <row r="6" customFormat="false" ht="23.25" hidden="false" customHeight="true" outlineLevel="0" collapsed="false">
      <c r="A6" s="6" t="s">
        <v>659</v>
      </c>
      <c r="B6" s="6" t="s">
        <v>660</v>
      </c>
      <c r="C6" s="6" t="s">
        <v>650</v>
      </c>
      <c r="D6" s="6" t="s">
        <v>651</v>
      </c>
      <c r="E6" s="6" t="s">
        <v>652</v>
      </c>
      <c r="F6" s="6" t="n">
        <v>4</v>
      </c>
      <c r="G6" s="6"/>
    </row>
    <row r="7" customFormat="false" ht="23.25" hidden="false" customHeight="true" outlineLevel="0" collapsed="false">
      <c r="A7" s="6" t="s">
        <v>661</v>
      </c>
      <c r="B7" s="6" t="s">
        <v>662</v>
      </c>
      <c r="C7" s="6" t="s">
        <v>650</v>
      </c>
      <c r="D7" s="6" t="s">
        <v>651</v>
      </c>
      <c r="E7" s="6" t="s">
        <v>652</v>
      </c>
      <c r="F7" s="6" t="n">
        <v>1</v>
      </c>
      <c r="G7" s="6" t="s">
        <v>663</v>
      </c>
    </row>
    <row r="8" customFormat="false" ht="23.25" hidden="false" customHeight="true" outlineLevel="0" collapsed="false">
      <c r="A8" s="6" t="s">
        <v>664</v>
      </c>
      <c r="B8" s="6" t="s">
        <v>665</v>
      </c>
      <c r="C8" s="6" t="s">
        <v>650</v>
      </c>
      <c r="D8" s="6" t="s">
        <v>651</v>
      </c>
      <c r="E8" s="6" t="s">
        <v>652</v>
      </c>
      <c r="F8" s="6" t="n">
        <v>1</v>
      </c>
      <c r="G8" s="6" t="s">
        <v>663</v>
      </c>
    </row>
    <row r="9" customFormat="false" ht="23.25" hidden="false" customHeight="true" outlineLevel="0" collapsed="false">
      <c r="A9" s="6" t="s">
        <v>666</v>
      </c>
      <c r="B9" s="6" t="s">
        <v>667</v>
      </c>
      <c r="C9" s="6" t="s">
        <v>650</v>
      </c>
      <c r="D9" s="6" t="s">
        <v>651</v>
      </c>
      <c r="E9" s="6" t="s">
        <v>652</v>
      </c>
      <c r="F9" s="6" t="n">
        <v>1</v>
      </c>
      <c r="G9" s="6" t="s">
        <v>663</v>
      </c>
    </row>
    <row r="10" customFormat="false" ht="23.25" hidden="false" customHeight="true" outlineLevel="0" collapsed="false">
      <c r="A10" s="6" t="s">
        <v>668</v>
      </c>
      <c r="B10" s="6" t="s">
        <v>669</v>
      </c>
      <c r="C10" s="6" t="s">
        <v>650</v>
      </c>
      <c r="D10" s="6" t="s">
        <v>651</v>
      </c>
      <c r="E10" s="6" t="s">
        <v>652</v>
      </c>
      <c r="F10" s="6" t="n">
        <v>1</v>
      </c>
      <c r="G10" s="6"/>
    </row>
    <row r="11" customFormat="false" ht="23.25" hidden="false" customHeight="true" outlineLevel="0" collapsed="false">
      <c r="A11" s="6" t="s">
        <v>670</v>
      </c>
      <c r="B11" s="6" t="s">
        <v>671</v>
      </c>
      <c r="C11" s="6" t="s">
        <v>650</v>
      </c>
      <c r="D11" s="6" t="s">
        <v>651</v>
      </c>
      <c r="E11" s="6" t="s">
        <v>652</v>
      </c>
      <c r="F11" s="6" t="n">
        <v>1</v>
      </c>
      <c r="G11" s="6"/>
    </row>
    <row r="12" customFormat="false" ht="23.25" hidden="false" customHeight="true" outlineLevel="0" collapsed="false">
      <c r="A12" s="6" t="s">
        <v>672</v>
      </c>
      <c r="B12" s="6" t="s">
        <v>673</v>
      </c>
      <c r="C12" s="6" t="s">
        <v>650</v>
      </c>
      <c r="D12" s="6" t="s">
        <v>651</v>
      </c>
      <c r="E12" s="6" t="s">
        <v>652</v>
      </c>
      <c r="F12" s="6" t="n">
        <v>1</v>
      </c>
      <c r="G12" s="6"/>
    </row>
    <row r="13" customFormat="false" ht="23.25" hidden="false" customHeight="true" outlineLevel="0" collapsed="false">
      <c r="A13" s="6" t="s">
        <v>674</v>
      </c>
      <c r="B13" s="6" t="s">
        <v>675</v>
      </c>
      <c r="C13" s="6" t="s">
        <v>650</v>
      </c>
      <c r="D13" s="6" t="s">
        <v>651</v>
      </c>
      <c r="E13" s="6" t="s">
        <v>652</v>
      </c>
      <c r="F13" s="6" t="n">
        <v>1</v>
      </c>
      <c r="G13" s="6"/>
    </row>
    <row r="14" customFormat="false" ht="23.25" hidden="false" customHeight="true" outlineLevel="0" collapsed="false">
      <c r="A14" s="6" t="s">
        <v>676</v>
      </c>
      <c r="B14" s="6" t="s">
        <v>677</v>
      </c>
      <c r="C14" s="6" t="s">
        <v>650</v>
      </c>
      <c r="D14" s="6" t="s">
        <v>651</v>
      </c>
      <c r="E14" s="6" t="s">
        <v>652</v>
      </c>
      <c r="F14" s="6" t="n">
        <v>1</v>
      </c>
      <c r="G14" s="6"/>
    </row>
    <row r="15" customFormat="false" ht="23.25" hidden="false" customHeight="true" outlineLevel="0" collapsed="false">
      <c r="A15" s="6" t="s">
        <v>678</v>
      </c>
      <c r="B15" s="6" t="s">
        <v>679</v>
      </c>
      <c r="C15" s="6" t="s">
        <v>650</v>
      </c>
      <c r="D15" s="6" t="s">
        <v>651</v>
      </c>
      <c r="E15" s="6" t="s">
        <v>652</v>
      </c>
      <c r="F15" s="6" t="n">
        <v>1</v>
      </c>
      <c r="G15" s="6"/>
    </row>
    <row r="16" customFormat="false" ht="23.25" hidden="false" customHeight="true" outlineLevel="0" collapsed="false">
      <c r="A16" s="6" t="s">
        <v>680</v>
      </c>
      <c r="B16" s="6" t="s">
        <v>681</v>
      </c>
      <c r="C16" s="6" t="s">
        <v>650</v>
      </c>
      <c r="D16" s="6" t="s">
        <v>651</v>
      </c>
      <c r="E16" s="6" t="s">
        <v>652</v>
      </c>
      <c r="F16" s="6" t="n">
        <v>1</v>
      </c>
      <c r="G16" s="6"/>
    </row>
    <row r="17" customFormat="false" ht="23.25" hidden="false" customHeight="true" outlineLevel="0" collapsed="false">
      <c r="A17" s="6" t="s">
        <v>682</v>
      </c>
      <c r="B17" s="6" t="s">
        <v>683</v>
      </c>
      <c r="C17" s="6" t="s">
        <v>650</v>
      </c>
      <c r="D17" s="6" t="s">
        <v>651</v>
      </c>
      <c r="E17" s="6" t="s">
        <v>652</v>
      </c>
      <c r="F17" s="6" t="n">
        <v>1</v>
      </c>
      <c r="G17" s="6"/>
    </row>
    <row r="18" customFormat="false" ht="23.25" hidden="false" customHeight="true" outlineLevel="0" collapsed="false">
      <c r="A18" s="6" t="s">
        <v>684</v>
      </c>
      <c r="B18" s="6" t="s">
        <v>685</v>
      </c>
      <c r="C18" s="6" t="s">
        <v>650</v>
      </c>
      <c r="D18" s="6" t="s">
        <v>651</v>
      </c>
      <c r="E18" s="6" t="s">
        <v>652</v>
      </c>
      <c r="F18" s="6" t="n">
        <v>1</v>
      </c>
      <c r="G18" s="6"/>
    </row>
    <row r="19" customFormat="false" ht="23.25" hidden="false" customHeight="true" outlineLevel="0" collapsed="false">
      <c r="A19" s="6" t="s">
        <v>686</v>
      </c>
      <c r="B19" s="6" t="s">
        <v>687</v>
      </c>
      <c r="C19" s="6" t="s">
        <v>650</v>
      </c>
      <c r="D19" s="6" t="s">
        <v>651</v>
      </c>
      <c r="E19" s="6" t="s">
        <v>652</v>
      </c>
      <c r="F19" s="6" t="n">
        <v>3</v>
      </c>
      <c r="G19" s="6"/>
    </row>
    <row r="20" customFormat="false" ht="23.25" hidden="false" customHeight="true" outlineLevel="0" collapsed="false">
      <c r="A20" s="6" t="s">
        <v>688</v>
      </c>
      <c r="B20" s="6" t="s">
        <v>689</v>
      </c>
      <c r="C20" s="6" t="s">
        <v>650</v>
      </c>
      <c r="D20" s="6" t="s">
        <v>651</v>
      </c>
      <c r="E20" s="6" t="s">
        <v>652</v>
      </c>
      <c r="F20" s="6" t="n">
        <v>1</v>
      </c>
      <c r="G20" s="6"/>
    </row>
    <row r="21" customFormat="false" ht="23.25" hidden="false" customHeight="true" outlineLevel="0" collapsed="false">
      <c r="A21" s="6" t="s">
        <v>690</v>
      </c>
      <c r="B21" s="6" t="s">
        <v>691</v>
      </c>
      <c r="C21" s="6" t="s">
        <v>650</v>
      </c>
      <c r="D21" s="6" t="s">
        <v>651</v>
      </c>
      <c r="E21" s="6" t="s">
        <v>652</v>
      </c>
      <c r="F21" s="6" t="n">
        <v>1</v>
      </c>
      <c r="G21" s="6"/>
    </row>
    <row r="22" customFormat="false" ht="23.25" hidden="false" customHeight="true" outlineLevel="0" collapsed="false">
      <c r="A22" s="6" t="s">
        <v>692</v>
      </c>
      <c r="B22" s="6" t="s">
        <v>693</v>
      </c>
      <c r="C22" s="6" t="s">
        <v>650</v>
      </c>
      <c r="D22" s="6" t="s">
        <v>651</v>
      </c>
      <c r="E22" s="6" t="s">
        <v>652</v>
      </c>
      <c r="F22" s="6" t="n">
        <v>1</v>
      </c>
      <c r="G22" s="6"/>
    </row>
    <row r="23" customFormat="false" ht="23.25" hidden="false" customHeight="true" outlineLevel="0" collapsed="false">
      <c r="A23" s="6" t="s">
        <v>694</v>
      </c>
      <c r="B23" s="6" t="s">
        <v>695</v>
      </c>
      <c r="C23" s="6" t="s">
        <v>650</v>
      </c>
      <c r="D23" s="6" t="s">
        <v>651</v>
      </c>
      <c r="E23" s="6" t="s">
        <v>652</v>
      </c>
      <c r="F23" s="6" t="n">
        <v>1</v>
      </c>
      <c r="G23" s="6"/>
    </row>
    <row r="24" customFormat="false" ht="23.25" hidden="false" customHeight="true" outlineLevel="0" collapsed="false">
      <c r="A24" s="6" t="s">
        <v>696</v>
      </c>
      <c r="B24" s="6" t="s">
        <v>697</v>
      </c>
      <c r="C24" s="6" t="s">
        <v>650</v>
      </c>
      <c r="D24" s="6" t="s">
        <v>651</v>
      </c>
      <c r="E24" s="6" t="s">
        <v>652</v>
      </c>
      <c r="F24" s="6" t="n">
        <v>1</v>
      </c>
      <c r="G24" s="6"/>
    </row>
    <row r="25" customFormat="false" ht="23.25" hidden="false" customHeight="true" outlineLevel="0" collapsed="false">
      <c r="A25" s="6" t="s">
        <v>698</v>
      </c>
      <c r="B25" s="6" t="s">
        <v>699</v>
      </c>
      <c r="C25" s="6" t="s">
        <v>650</v>
      </c>
      <c r="D25" s="6" t="s">
        <v>651</v>
      </c>
      <c r="E25" s="6" t="s">
        <v>652</v>
      </c>
      <c r="F25" s="6" t="n">
        <v>1</v>
      </c>
      <c r="G25" s="6"/>
    </row>
    <row r="26" customFormat="false" ht="23.25" hidden="false" customHeight="true" outlineLevel="0" collapsed="false">
      <c r="A26" s="6" t="s">
        <v>700</v>
      </c>
      <c r="B26" s="6" t="s">
        <v>701</v>
      </c>
      <c r="C26" s="6" t="s">
        <v>650</v>
      </c>
      <c r="D26" s="6" t="s">
        <v>651</v>
      </c>
      <c r="E26" s="6" t="s">
        <v>652</v>
      </c>
      <c r="F26" s="6" t="n">
        <v>1</v>
      </c>
      <c r="G26" s="6"/>
    </row>
    <row r="27" customFormat="false" ht="23.25" hidden="false" customHeight="true" outlineLevel="0" collapsed="false">
      <c r="A27" s="6" t="s">
        <v>702</v>
      </c>
      <c r="B27" s="6" t="s">
        <v>703</v>
      </c>
      <c r="C27" s="6" t="s">
        <v>650</v>
      </c>
      <c r="D27" s="6" t="s">
        <v>651</v>
      </c>
      <c r="E27" s="6" t="s">
        <v>652</v>
      </c>
      <c r="F27" s="6" t="n">
        <v>1</v>
      </c>
      <c r="G27" s="6"/>
    </row>
    <row r="28" customFormat="false" ht="23.25" hidden="false" customHeight="true" outlineLevel="0" collapsed="false">
      <c r="A28" s="6" t="s">
        <v>704</v>
      </c>
      <c r="B28" s="6" t="s">
        <v>705</v>
      </c>
      <c r="C28" s="6" t="s">
        <v>650</v>
      </c>
      <c r="D28" s="6" t="s">
        <v>651</v>
      </c>
      <c r="E28" s="6" t="s">
        <v>652</v>
      </c>
      <c r="F28" s="6" t="n">
        <v>1</v>
      </c>
      <c r="G28" s="6"/>
    </row>
    <row r="29" customFormat="false" ht="23.25" hidden="false" customHeight="true" outlineLevel="0" collapsed="false">
      <c r="A29" s="6" t="s">
        <v>706</v>
      </c>
      <c r="B29" s="6" t="s">
        <v>707</v>
      </c>
      <c r="C29" s="6" t="s">
        <v>650</v>
      </c>
      <c r="D29" s="6" t="s">
        <v>651</v>
      </c>
      <c r="E29" s="6" t="s">
        <v>652</v>
      </c>
      <c r="F29" s="6" t="n">
        <v>1</v>
      </c>
      <c r="G29" s="6"/>
    </row>
    <row r="30" customFormat="false" ht="23.25" hidden="false" customHeight="true" outlineLevel="0" collapsed="false">
      <c r="A30" s="6" t="s">
        <v>60</v>
      </c>
      <c r="B30" s="6" t="s">
        <v>708</v>
      </c>
      <c r="C30" s="6" t="s">
        <v>650</v>
      </c>
      <c r="D30" s="6" t="s">
        <v>651</v>
      </c>
      <c r="E30" s="6" t="s">
        <v>652</v>
      </c>
      <c r="F30" s="6" t="n">
        <v>1</v>
      </c>
      <c r="G30" s="6"/>
    </row>
    <row r="31" customFormat="false" ht="23.25" hidden="false" customHeight="true" outlineLevel="0" collapsed="false">
      <c r="A31" s="6" t="s">
        <v>709</v>
      </c>
      <c r="B31" s="6" t="s">
        <v>710</v>
      </c>
      <c r="C31" s="6" t="s">
        <v>650</v>
      </c>
      <c r="D31" s="6" t="s">
        <v>651</v>
      </c>
      <c r="E31" s="6" t="s">
        <v>652</v>
      </c>
      <c r="F31" s="6" t="n">
        <v>1</v>
      </c>
      <c r="G31" s="6"/>
    </row>
    <row r="32" customFormat="false" ht="23.25" hidden="false" customHeight="true" outlineLevel="0" collapsed="false">
      <c r="A32" s="6" t="s">
        <v>711</v>
      </c>
      <c r="B32" s="6" t="s">
        <v>712</v>
      </c>
      <c r="C32" s="6" t="s">
        <v>650</v>
      </c>
      <c r="D32" s="6" t="s">
        <v>651</v>
      </c>
      <c r="E32" s="6" t="s">
        <v>652</v>
      </c>
      <c r="F32" s="6" t="n">
        <v>1</v>
      </c>
      <c r="G32" s="6"/>
    </row>
    <row r="33" customFormat="false" ht="23.25" hidden="false" customHeight="true" outlineLevel="0" collapsed="false">
      <c r="A33" s="6" t="s">
        <v>713</v>
      </c>
      <c r="B33" s="6" t="s">
        <v>714</v>
      </c>
      <c r="C33" s="6" t="s">
        <v>715</v>
      </c>
      <c r="D33" s="6" t="s">
        <v>651</v>
      </c>
      <c r="E33" s="6" t="s">
        <v>652</v>
      </c>
      <c r="F33" s="6" t="n">
        <v>1</v>
      </c>
      <c r="G33" s="6"/>
    </row>
    <row r="34" customFormat="false" ht="23.25" hidden="false" customHeight="true" outlineLevel="0" collapsed="false">
      <c r="A34" s="6" t="s">
        <v>716</v>
      </c>
      <c r="B34" s="6" t="s">
        <v>717</v>
      </c>
      <c r="C34" s="6" t="s">
        <v>715</v>
      </c>
      <c r="D34" s="6" t="s">
        <v>651</v>
      </c>
      <c r="E34" s="6" t="s">
        <v>652</v>
      </c>
      <c r="F34" s="6" t="n">
        <v>1</v>
      </c>
      <c r="G34" s="6"/>
    </row>
    <row r="35" customFormat="false" ht="23.25" hidden="false" customHeight="true" outlineLevel="0" collapsed="false">
      <c r="A35" s="6" t="s">
        <v>718</v>
      </c>
      <c r="B35" s="6" t="s">
        <v>719</v>
      </c>
      <c r="C35" s="6" t="s">
        <v>715</v>
      </c>
      <c r="D35" s="6" t="s">
        <v>651</v>
      </c>
      <c r="E35" s="6" t="s">
        <v>652</v>
      </c>
      <c r="F35" s="6" t="n">
        <v>1</v>
      </c>
      <c r="G35" s="6"/>
    </row>
    <row r="36" customFormat="false" ht="23.25" hidden="false" customHeight="true" outlineLevel="0" collapsed="false">
      <c r="A36" s="6" t="s">
        <v>720</v>
      </c>
      <c r="B36" s="6" t="s">
        <v>721</v>
      </c>
      <c r="C36" s="6" t="s">
        <v>715</v>
      </c>
      <c r="D36" s="6" t="s">
        <v>651</v>
      </c>
      <c r="E36" s="6" t="s">
        <v>652</v>
      </c>
      <c r="F36" s="6" t="n">
        <v>1</v>
      </c>
      <c r="G36" s="6"/>
    </row>
    <row r="37" customFormat="false" ht="23.25" hidden="false" customHeight="true" outlineLevel="0" collapsed="false">
      <c r="A37" s="6" t="s">
        <v>722</v>
      </c>
      <c r="B37" s="6" t="s">
        <v>723</v>
      </c>
      <c r="C37" s="6" t="s">
        <v>715</v>
      </c>
      <c r="D37" s="6" t="s">
        <v>651</v>
      </c>
      <c r="E37" s="6" t="s">
        <v>652</v>
      </c>
      <c r="F37" s="6" t="n">
        <v>1</v>
      </c>
      <c r="G37" s="6"/>
    </row>
    <row r="38" customFormat="false" ht="23.25" hidden="false" customHeight="true" outlineLevel="0" collapsed="false">
      <c r="A38" s="6" t="s">
        <v>724</v>
      </c>
      <c r="B38" s="6" t="s">
        <v>725</v>
      </c>
      <c r="C38" s="6" t="s">
        <v>715</v>
      </c>
      <c r="D38" s="6" t="s">
        <v>651</v>
      </c>
      <c r="E38" s="6" t="s">
        <v>652</v>
      </c>
      <c r="F38" s="6" t="n">
        <v>1</v>
      </c>
      <c r="G38" s="6"/>
    </row>
    <row r="39" customFormat="false" ht="23.25" hidden="false" customHeight="true" outlineLevel="0" collapsed="false">
      <c r="A39" s="6" t="s">
        <v>726</v>
      </c>
      <c r="B39" s="6" t="s">
        <v>727</v>
      </c>
      <c r="C39" s="6" t="s">
        <v>715</v>
      </c>
      <c r="D39" s="6" t="s">
        <v>651</v>
      </c>
      <c r="E39" s="6" t="s">
        <v>652</v>
      </c>
      <c r="F39" s="6" t="n">
        <v>1</v>
      </c>
      <c r="G39" s="6"/>
    </row>
    <row r="40" customFormat="false" ht="23.25" hidden="false" customHeight="true" outlineLevel="0" collapsed="false">
      <c r="A40" s="6" t="s">
        <v>728</v>
      </c>
      <c r="B40" s="6" t="s">
        <v>729</v>
      </c>
      <c r="C40" s="6" t="s">
        <v>730</v>
      </c>
      <c r="D40" s="6" t="s">
        <v>651</v>
      </c>
      <c r="E40" s="6" t="s">
        <v>731</v>
      </c>
      <c r="F40" s="6" t="n">
        <v>1</v>
      </c>
      <c r="G40" s="6"/>
    </row>
    <row r="41" customFormat="false" ht="23.25" hidden="false" customHeight="true" outlineLevel="0" collapsed="false">
      <c r="A41" s="6" t="s">
        <v>732</v>
      </c>
      <c r="B41" s="6" t="s">
        <v>733</v>
      </c>
      <c r="C41" s="6" t="s">
        <v>730</v>
      </c>
      <c r="D41" s="6" t="s">
        <v>651</v>
      </c>
      <c r="E41" s="6" t="s">
        <v>731</v>
      </c>
      <c r="F41" s="6" t="n">
        <v>1</v>
      </c>
      <c r="G41" s="6"/>
    </row>
    <row r="42" customFormat="false" ht="23.25" hidden="false" customHeight="true" outlineLevel="0" collapsed="false">
      <c r="A42" s="6" t="s">
        <v>734</v>
      </c>
      <c r="B42" s="6" t="s">
        <v>735</v>
      </c>
      <c r="C42" s="6" t="s">
        <v>730</v>
      </c>
      <c r="D42" s="6" t="s">
        <v>651</v>
      </c>
      <c r="E42" s="6" t="s">
        <v>731</v>
      </c>
      <c r="F42" s="6" t="n">
        <v>1</v>
      </c>
      <c r="G42" s="6"/>
    </row>
    <row r="43" customFormat="false" ht="15" hidden="false" customHeight="true" outlineLevel="0" collapsed="false">
      <c r="A43" s="6" t="s">
        <v>736</v>
      </c>
      <c r="B43" s="6" t="s">
        <v>737</v>
      </c>
      <c r="C43" s="6" t="s">
        <v>730</v>
      </c>
      <c r="D43" s="6" t="s">
        <v>651</v>
      </c>
      <c r="E43" s="6" t="s">
        <v>731</v>
      </c>
      <c r="F43" s="6" t="n">
        <v>1</v>
      </c>
      <c r="G43" s="6"/>
    </row>
    <row r="44" customFormat="false" ht="23.25" hidden="false" customHeight="true" outlineLevel="0" collapsed="false">
      <c r="A44" s="6" t="s">
        <v>738</v>
      </c>
      <c r="B44" s="6" t="s">
        <v>739</v>
      </c>
      <c r="C44" s="6" t="s">
        <v>730</v>
      </c>
      <c r="D44" s="6" t="s">
        <v>651</v>
      </c>
      <c r="E44" s="6" t="s">
        <v>731</v>
      </c>
      <c r="F44" s="6" t="n">
        <v>1</v>
      </c>
      <c r="G44" s="6"/>
    </row>
    <row r="45" customFormat="false" ht="23.25" hidden="false" customHeight="true" outlineLevel="0" collapsed="false">
      <c r="A45" s="6" t="s">
        <v>740</v>
      </c>
      <c r="B45" s="6" t="s">
        <v>741</v>
      </c>
      <c r="C45" s="6" t="s">
        <v>730</v>
      </c>
      <c r="D45" s="6" t="s">
        <v>651</v>
      </c>
      <c r="E45" s="6" t="s">
        <v>731</v>
      </c>
      <c r="F45" s="6" t="n">
        <v>5</v>
      </c>
      <c r="G45" s="6"/>
    </row>
    <row r="46" customFormat="false" ht="23.25" hidden="false" customHeight="true" outlineLevel="0" collapsed="false">
      <c r="A46" s="6" t="s">
        <v>742</v>
      </c>
      <c r="B46" s="6" t="s">
        <v>743</v>
      </c>
      <c r="C46" s="6" t="s">
        <v>730</v>
      </c>
      <c r="D46" s="6" t="s">
        <v>651</v>
      </c>
      <c r="E46" s="6" t="s">
        <v>731</v>
      </c>
      <c r="F46" s="6" t="n">
        <v>1</v>
      </c>
      <c r="G46" s="6"/>
    </row>
    <row r="47" customFormat="false" ht="15" hidden="false" customHeight="true" outlineLevel="0" collapsed="false">
      <c r="A47" s="6" t="s">
        <v>744</v>
      </c>
      <c r="B47" s="6" t="s">
        <v>745</v>
      </c>
      <c r="C47" s="6" t="s">
        <v>730</v>
      </c>
      <c r="D47" s="6" t="s">
        <v>651</v>
      </c>
      <c r="E47" s="6" t="s">
        <v>731</v>
      </c>
      <c r="F47" s="6" t="n">
        <v>1</v>
      </c>
      <c r="G47" s="6"/>
    </row>
    <row r="48" customFormat="false" ht="23.25" hidden="false" customHeight="true" outlineLevel="0" collapsed="false">
      <c r="A48" s="6" t="s">
        <v>746</v>
      </c>
      <c r="B48" s="6" t="s">
        <v>747</v>
      </c>
      <c r="C48" s="6" t="s">
        <v>730</v>
      </c>
      <c r="D48" s="6" t="s">
        <v>651</v>
      </c>
      <c r="E48" s="6" t="s">
        <v>731</v>
      </c>
      <c r="F48" s="6" t="n">
        <v>1</v>
      </c>
      <c r="G48" s="6"/>
    </row>
    <row r="49" customFormat="false" ht="23.25" hidden="false" customHeight="true" outlineLevel="0" collapsed="false">
      <c r="A49" s="6" t="s">
        <v>748</v>
      </c>
      <c r="B49" s="6" t="s">
        <v>749</v>
      </c>
      <c r="C49" s="6" t="s">
        <v>730</v>
      </c>
      <c r="D49" s="6" t="s">
        <v>651</v>
      </c>
      <c r="E49" s="6" t="s">
        <v>731</v>
      </c>
      <c r="F49" s="6" t="n">
        <v>1</v>
      </c>
      <c r="G49" s="6"/>
    </row>
    <row r="50" customFormat="false" ht="15" hidden="false" customHeight="true" outlineLevel="0" collapsed="false">
      <c r="A50" s="6" t="s">
        <v>750</v>
      </c>
      <c r="B50" s="6" t="s">
        <v>751</v>
      </c>
      <c r="C50" s="6" t="s">
        <v>752</v>
      </c>
      <c r="D50" s="6" t="s">
        <v>651</v>
      </c>
      <c r="E50" s="6" t="s">
        <v>731</v>
      </c>
      <c r="F50" s="6" t="n">
        <v>1</v>
      </c>
      <c r="G50" s="6"/>
    </row>
    <row r="51" customFormat="false" ht="15" hidden="false" customHeight="true" outlineLevel="0" collapsed="false">
      <c r="A51" s="6" t="s">
        <v>753</v>
      </c>
      <c r="B51" s="6" t="s">
        <v>754</v>
      </c>
      <c r="C51" s="6" t="s">
        <v>752</v>
      </c>
      <c r="D51" s="6" t="s">
        <v>651</v>
      </c>
      <c r="E51" s="6" t="s">
        <v>731</v>
      </c>
      <c r="F51" s="6" t="n">
        <v>1</v>
      </c>
      <c r="G51" s="6"/>
    </row>
    <row r="52" customFormat="false" ht="23.25" hidden="false" customHeight="true" outlineLevel="0" collapsed="false">
      <c r="A52" s="6" t="s">
        <v>755</v>
      </c>
      <c r="B52" s="6" t="s">
        <v>756</v>
      </c>
      <c r="C52" s="6" t="s">
        <v>752</v>
      </c>
      <c r="D52" s="6" t="s">
        <v>651</v>
      </c>
      <c r="E52" s="6" t="s">
        <v>731</v>
      </c>
      <c r="F52" s="6" t="n">
        <v>1</v>
      </c>
      <c r="G52" s="6"/>
    </row>
    <row r="53" customFormat="false" ht="15" hidden="false" customHeight="true" outlineLevel="0" collapsed="false">
      <c r="A53" s="6" t="s">
        <v>757</v>
      </c>
      <c r="B53" s="6" t="s">
        <v>758</v>
      </c>
      <c r="C53" s="6" t="s">
        <v>752</v>
      </c>
      <c r="D53" s="6" t="s">
        <v>651</v>
      </c>
      <c r="E53" s="6" t="s">
        <v>731</v>
      </c>
      <c r="F53" s="6" t="n">
        <v>3</v>
      </c>
      <c r="G53" s="6"/>
    </row>
    <row r="54" customFormat="false" ht="23.25" hidden="false" customHeight="true" outlineLevel="0" collapsed="false">
      <c r="A54" s="6" t="s">
        <v>759</v>
      </c>
      <c r="B54" s="6" t="s">
        <v>760</v>
      </c>
      <c r="C54" s="6" t="s">
        <v>752</v>
      </c>
      <c r="D54" s="6" t="s">
        <v>651</v>
      </c>
      <c r="E54" s="6" t="s">
        <v>731</v>
      </c>
      <c r="F54" s="6" t="n">
        <v>1</v>
      </c>
      <c r="G54" s="6"/>
    </row>
    <row r="55" customFormat="false" ht="15" hidden="false" customHeight="true" outlineLevel="0" collapsed="false">
      <c r="A55" s="6" t="s">
        <v>761</v>
      </c>
      <c r="B55" s="6" t="s">
        <v>762</v>
      </c>
      <c r="C55" s="6" t="s">
        <v>752</v>
      </c>
      <c r="D55" s="6" t="s">
        <v>651</v>
      </c>
      <c r="E55" s="6" t="s">
        <v>731</v>
      </c>
      <c r="F55" s="6" t="n">
        <v>1</v>
      </c>
      <c r="G55" s="6"/>
    </row>
    <row r="56" customFormat="false" ht="23.25" hidden="false" customHeight="true" outlineLevel="0" collapsed="false">
      <c r="A56" s="6" t="s">
        <v>763</v>
      </c>
      <c r="B56" s="6" t="s">
        <v>764</v>
      </c>
      <c r="C56" s="6" t="s">
        <v>752</v>
      </c>
      <c r="D56" s="6" t="s">
        <v>651</v>
      </c>
      <c r="E56" s="6" t="s">
        <v>731</v>
      </c>
      <c r="F56" s="6" t="n">
        <v>1</v>
      </c>
      <c r="G56" s="6"/>
    </row>
    <row r="57" customFormat="false" ht="15" hidden="false" customHeight="true" outlineLevel="0" collapsed="false">
      <c r="A57" s="6" t="s">
        <v>765</v>
      </c>
      <c r="B57" s="6" t="s">
        <v>766</v>
      </c>
      <c r="C57" s="6" t="s">
        <v>752</v>
      </c>
      <c r="D57" s="6" t="s">
        <v>651</v>
      </c>
      <c r="E57" s="6" t="s">
        <v>731</v>
      </c>
      <c r="F57" s="6" t="n">
        <v>1</v>
      </c>
      <c r="G57" s="6"/>
    </row>
    <row r="58" customFormat="false" ht="23.25" hidden="false" customHeight="true" outlineLevel="0" collapsed="false">
      <c r="A58" s="6" t="s">
        <v>767</v>
      </c>
      <c r="B58" s="6" t="s">
        <v>768</v>
      </c>
      <c r="C58" s="6" t="s">
        <v>752</v>
      </c>
      <c r="D58" s="6" t="s">
        <v>651</v>
      </c>
      <c r="E58" s="6" t="s">
        <v>731</v>
      </c>
      <c r="F58" s="6" t="n">
        <v>1</v>
      </c>
      <c r="G58" s="6"/>
    </row>
    <row r="59" customFormat="false" ht="15" hidden="false" customHeight="true" outlineLevel="0" collapsed="false">
      <c r="A59" s="6" t="s">
        <v>769</v>
      </c>
      <c r="B59" s="6" t="s">
        <v>770</v>
      </c>
      <c r="C59" s="6" t="s">
        <v>752</v>
      </c>
      <c r="D59" s="6" t="s">
        <v>651</v>
      </c>
      <c r="E59" s="6" t="s">
        <v>731</v>
      </c>
      <c r="F59" s="6" t="n">
        <v>1</v>
      </c>
      <c r="G59" s="6"/>
    </row>
    <row r="60" customFormat="false" ht="23.25" hidden="false" customHeight="true" outlineLevel="0" collapsed="false">
      <c r="A60" s="6" t="s">
        <v>771</v>
      </c>
      <c r="B60" s="6" t="s">
        <v>772</v>
      </c>
      <c r="C60" s="6" t="s">
        <v>752</v>
      </c>
      <c r="D60" s="6" t="s">
        <v>651</v>
      </c>
      <c r="E60" s="6" t="s">
        <v>731</v>
      </c>
      <c r="F60" s="6" t="n">
        <v>1</v>
      </c>
      <c r="G60" s="6"/>
    </row>
    <row r="61" customFormat="false" ht="15" hidden="false" customHeight="true" outlineLevel="0" collapsed="false">
      <c r="A61" s="6" t="s">
        <v>773</v>
      </c>
      <c r="B61" s="6" t="s">
        <v>774</v>
      </c>
      <c r="C61" s="6" t="s">
        <v>752</v>
      </c>
      <c r="D61" s="6" t="s">
        <v>651</v>
      </c>
      <c r="E61" s="6" t="s">
        <v>731</v>
      </c>
      <c r="F61" s="6" t="n">
        <v>1</v>
      </c>
      <c r="G61" s="6"/>
    </row>
    <row r="62" customFormat="false" ht="15" hidden="false" customHeight="true" outlineLevel="0" collapsed="false">
      <c r="A62" s="6" t="s">
        <v>775</v>
      </c>
      <c r="B62" s="6" t="s">
        <v>776</v>
      </c>
      <c r="C62" s="6" t="s">
        <v>752</v>
      </c>
      <c r="D62" s="6" t="s">
        <v>651</v>
      </c>
      <c r="E62" s="6" t="s">
        <v>731</v>
      </c>
      <c r="F62" s="6" t="n">
        <v>1</v>
      </c>
      <c r="G62" s="6"/>
    </row>
    <row r="63" customFormat="false" ht="15" hidden="false" customHeight="true" outlineLevel="0" collapsed="false">
      <c r="A63" s="6" t="s">
        <v>777</v>
      </c>
      <c r="B63" s="6" t="s">
        <v>778</v>
      </c>
      <c r="C63" s="6" t="s">
        <v>752</v>
      </c>
      <c r="D63" s="6" t="s">
        <v>651</v>
      </c>
      <c r="E63" s="6" t="s">
        <v>731</v>
      </c>
      <c r="F63" s="6" t="n">
        <v>1</v>
      </c>
      <c r="G63" s="6"/>
    </row>
    <row r="64" customFormat="false" ht="23.25" hidden="false" customHeight="true" outlineLevel="0" collapsed="false">
      <c r="A64" s="6" t="s">
        <v>779</v>
      </c>
      <c r="B64" s="6" t="s">
        <v>780</v>
      </c>
      <c r="C64" s="6" t="s">
        <v>752</v>
      </c>
      <c r="D64" s="6" t="s">
        <v>651</v>
      </c>
      <c r="E64" s="6" t="s">
        <v>731</v>
      </c>
      <c r="F64" s="6" t="n">
        <v>1</v>
      </c>
      <c r="G64" s="6" t="s">
        <v>663</v>
      </c>
    </row>
    <row r="65" customFormat="false" ht="23.25" hidden="false" customHeight="true" outlineLevel="0" collapsed="false">
      <c r="A65" s="6" t="s">
        <v>781</v>
      </c>
      <c r="B65" s="6" t="s">
        <v>782</v>
      </c>
      <c r="C65" s="6" t="s">
        <v>783</v>
      </c>
      <c r="D65" s="6" t="s">
        <v>651</v>
      </c>
      <c r="E65" s="6" t="s">
        <v>652</v>
      </c>
      <c r="F65" s="6" t="n">
        <v>1</v>
      </c>
      <c r="G65" s="6"/>
    </row>
    <row r="66" customFormat="false" ht="23.25" hidden="false" customHeight="true" outlineLevel="0" collapsed="false">
      <c r="A66" s="6" t="s">
        <v>784</v>
      </c>
      <c r="B66" s="6" t="s">
        <v>785</v>
      </c>
      <c r="C66" s="6" t="s">
        <v>783</v>
      </c>
      <c r="D66" s="6" t="s">
        <v>651</v>
      </c>
      <c r="E66" s="6" t="s">
        <v>652</v>
      </c>
      <c r="F66" s="6" t="n">
        <v>1</v>
      </c>
      <c r="G66" s="6"/>
    </row>
    <row r="67" customFormat="false" ht="23.25" hidden="false" customHeight="true" outlineLevel="0" collapsed="false">
      <c r="A67" s="6" t="s">
        <v>786</v>
      </c>
      <c r="B67" s="6" t="s">
        <v>787</v>
      </c>
      <c r="C67" s="6" t="s">
        <v>783</v>
      </c>
      <c r="D67" s="6" t="s">
        <v>651</v>
      </c>
      <c r="E67" s="6" t="s">
        <v>652</v>
      </c>
      <c r="F67" s="6" t="n">
        <v>1</v>
      </c>
      <c r="G67" s="6"/>
    </row>
    <row r="68" customFormat="false" ht="23.25" hidden="false" customHeight="true" outlineLevel="0" collapsed="false">
      <c r="A68" s="6" t="s">
        <v>788</v>
      </c>
      <c r="B68" s="6" t="s">
        <v>789</v>
      </c>
      <c r="C68" s="6" t="s">
        <v>783</v>
      </c>
      <c r="D68" s="6" t="s">
        <v>651</v>
      </c>
      <c r="E68" s="6" t="s">
        <v>652</v>
      </c>
      <c r="F68" s="6" t="n">
        <v>1</v>
      </c>
      <c r="G68" s="6"/>
    </row>
    <row r="69" customFormat="false" ht="23.25" hidden="false" customHeight="true" outlineLevel="0" collapsed="false">
      <c r="A69" s="6" t="s">
        <v>790</v>
      </c>
      <c r="B69" s="6" t="s">
        <v>791</v>
      </c>
      <c r="C69" s="6" t="s">
        <v>783</v>
      </c>
      <c r="D69" s="6" t="s">
        <v>651</v>
      </c>
      <c r="E69" s="6" t="s">
        <v>652</v>
      </c>
      <c r="F69" s="6" t="n">
        <v>1</v>
      </c>
      <c r="G69" s="6"/>
    </row>
    <row r="70" customFormat="false" ht="23.25" hidden="false" customHeight="true" outlineLevel="0" collapsed="false">
      <c r="A70" s="6" t="s">
        <v>792</v>
      </c>
      <c r="B70" s="6" t="s">
        <v>793</v>
      </c>
      <c r="C70" s="6" t="s">
        <v>783</v>
      </c>
      <c r="D70" s="6" t="s">
        <v>651</v>
      </c>
      <c r="E70" s="6" t="s">
        <v>652</v>
      </c>
      <c r="F70" s="6" t="n">
        <v>1</v>
      </c>
      <c r="G70" s="6"/>
    </row>
    <row r="71" customFormat="false" ht="23.25" hidden="false" customHeight="true" outlineLevel="0" collapsed="false">
      <c r="A71" s="6" t="s">
        <v>794</v>
      </c>
      <c r="B71" s="6" t="s">
        <v>795</v>
      </c>
      <c r="C71" s="6" t="s">
        <v>783</v>
      </c>
      <c r="D71" s="6" t="s">
        <v>651</v>
      </c>
      <c r="E71" s="6" t="s">
        <v>652</v>
      </c>
      <c r="F71" s="6" t="n">
        <v>1</v>
      </c>
      <c r="G71" s="6"/>
    </row>
    <row r="72" customFormat="false" ht="23.25" hidden="false" customHeight="true" outlineLevel="0" collapsed="false">
      <c r="A72" s="6" t="s">
        <v>796</v>
      </c>
      <c r="B72" s="6" t="s">
        <v>797</v>
      </c>
      <c r="C72" s="6" t="s">
        <v>783</v>
      </c>
      <c r="D72" s="6" t="s">
        <v>651</v>
      </c>
      <c r="E72" s="6" t="s">
        <v>652</v>
      </c>
      <c r="F72" s="6" t="n">
        <v>1</v>
      </c>
      <c r="G72" s="6"/>
    </row>
    <row r="73" customFormat="false" ht="23.25" hidden="false" customHeight="true" outlineLevel="0" collapsed="false">
      <c r="A73" s="6" t="s">
        <v>798</v>
      </c>
      <c r="B73" s="6" t="s">
        <v>799</v>
      </c>
      <c r="C73" s="6" t="s">
        <v>783</v>
      </c>
      <c r="D73" s="6" t="s">
        <v>651</v>
      </c>
      <c r="E73" s="6" t="s">
        <v>652</v>
      </c>
      <c r="F73" s="6" t="n">
        <v>1</v>
      </c>
      <c r="G73" s="6" t="s">
        <v>800</v>
      </c>
    </row>
    <row r="74" customFormat="false" ht="23.25" hidden="false" customHeight="true" outlineLevel="0" collapsed="false">
      <c r="A74" s="6" t="s">
        <v>801</v>
      </c>
      <c r="B74" s="6" t="s">
        <v>802</v>
      </c>
      <c r="C74" s="6" t="s">
        <v>803</v>
      </c>
      <c r="D74" s="6" t="s">
        <v>804</v>
      </c>
      <c r="E74" s="6" t="s">
        <v>652</v>
      </c>
      <c r="F74" s="6" t="n">
        <v>1</v>
      </c>
      <c r="G74" s="6"/>
    </row>
    <row r="75" customFormat="false" ht="23.25" hidden="false" customHeight="true" outlineLevel="0" collapsed="false">
      <c r="A75" s="6" t="s">
        <v>805</v>
      </c>
      <c r="B75" s="6" t="s">
        <v>806</v>
      </c>
      <c r="C75" s="6" t="s">
        <v>803</v>
      </c>
      <c r="D75" s="6" t="s">
        <v>804</v>
      </c>
      <c r="E75" s="6" t="s">
        <v>652</v>
      </c>
      <c r="F75" s="6" t="n">
        <v>1</v>
      </c>
      <c r="G75" s="6"/>
    </row>
    <row r="76" customFormat="false" ht="23.25" hidden="false" customHeight="true" outlineLevel="0" collapsed="false">
      <c r="A76" s="6" t="s">
        <v>807</v>
      </c>
      <c r="B76" s="6" t="s">
        <v>808</v>
      </c>
      <c r="C76" s="6" t="s">
        <v>803</v>
      </c>
      <c r="D76" s="6" t="s">
        <v>804</v>
      </c>
      <c r="E76" s="6" t="s">
        <v>652</v>
      </c>
      <c r="F76" s="6" t="n">
        <v>1</v>
      </c>
      <c r="G76" s="6"/>
    </row>
    <row r="77" customFormat="false" ht="23.25" hidden="false" customHeight="true" outlineLevel="0" collapsed="false">
      <c r="A77" s="6" t="s">
        <v>809</v>
      </c>
      <c r="B77" s="6" t="s">
        <v>810</v>
      </c>
      <c r="C77" s="6" t="s">
        <v>803</v>
      </c>
      <c r="D77" s="6" t="s">
        <v>804</v>
      </c>
      <c r="E77" s="6" t="s">
        <v>652</v>
      </c>
      <c r="F77" s="6" t="n">
        <v>1</v>
      </c>
      <c r="G77" s="6"/>
    </row>
    <row r="78" customFormat="false" ht="23.25" hidden="false" customHeight="true" outlineLevel="0" collapsed="false">
      <c r="A78" s="6" t="s">
        <v>811</v>
      </c>
      <c r="B78" s="6" t="s">
        <v>812</v>
      </c>
      <c r="C78" s="6" t="s">
        <v>803</v>
      </c>
      <c r="D78" s="6" t="s">
        <v>804</v>
      </c>
      <c r="E78" s="6" t="s">
        <v>652</v>
      </c>
      <c r="F78" s="6" t="n">
        <v>1</v>
      </c>
      <c r="G78" s="6"/>
    </row>
    <row r="79" customFormat="false" ht="23.25" hidden="false" customHeight="true" outlineLevel="0" collapsed="false">
      <c r="A79" s="6" t="s">
        <v>813</v>
      </c>
      <c r="B79" s="6" t="s">
        <v>814</v>
      </c>
      <c r="C79" s="6" t="s">
        <v>803</v>
      </c>
      <c r="D79" s="6" t="s">
        <v>804</v>
      </c>
      <c r="E79" s="6" t="s">
        <v>652</v>
      </c>
      <c r="F79" s="6" t="n">
        <v>1</v>
      </c>
      <c r="G79" s="6"/>
    </row>
    <row r="80" customFormat="false" ht="23.25" hidden="false" customHeight="true" outlineLevel="0" collapsed="false">
      <c r="A80" s="6" t="s">
        <v>815</v>
      </c>
      <c r="B80" s="6" t="s">
        <v>816</v>
      </c>
      <c r="C80" s="6" t="s">
        <v>803</v>
      </c>
      <c r="D80" s="6" t="s">
        <v>804</v>
      </c>
      <c r="E80" s="6" t="s">
        <v>652</v>
      </c>
      <c r="F80" s="6" t="n">
        <v>2</v>
      </c>
      <c r="G80" s="6"/>
    </row>
    <row r="81" customFormat="false" ht="23.25" hidden="false" customHeight="true" outlineLevel="0" collapsed="false">
      <c r="A81" s="6" t="s">
        <v>817</v>
      </c>
      <c r="B81" s="6" t="s">
        <v>818</v>
      </c>
      <c r="C81" s="6" t="s">
        <v>803</v>
      </c>
      <c r="D81" s="6" t="s">
        <v>804</v>
      </c>
      <c r="E81" s="6" t="s">
        <v>652</v>
      </c>
      <c r="F81" s="6" t="n">
        <v>1</v>
      </c>
      <c r="G81" s="6"/>
    </row>
    <row r="82" customFormat="false" ht="23.25" hidden="false" customHeight="true" outlineLevel="0" collapsed="false">
      <c r="A82" s="6" t="s">
        <v>819</v>
      </c>
      <c r="B82" s="6" t="s">
        <v>820</v>
      </c>
      <c r="C82" s="6" t="s">
        <v>803</v>
      </c>
      <c r="D82" s="6" t="s">
        <v>804</v>
      </c>
      <c r="E82" s="6" t="s">
        <v>652</v>
      </c>
      <c r="F82" s="6" t="n">
        <v>1</v>
      </c>
      <c r="G82" s="6"/>
    </row>
    <row r="83" customFormat="false" ht="23.25" hidden="false" customHeight="true" outlineLevel="0" collapsed="false">
      <c r="A83" s="6" t="s">
        <v>821</v>
      </c>
      <c r="B83" s="6" t="s">
        <v>822</v>
      </c>
      <c r="C83" s="6" t="s">
        <v>715</v>
      </c>
      <c r="D83" s="6" t="s">
        <v>823</v>
      </c>
      <c r="E83" s="6" t="s">
        <v>652</v>
      </c>
      <c r="F83" s="6" t="n">
        <v>1</v>
      </c>
      <c r="G83" s="6"/>
    </row>
    <row r="84" customFormat="false" ht="23.25" hidden="false" customHeight="true" outlineLevel="0" collapsed="false">
      <c r="A84" s="6" t="s">
        <v>824</v>
      </c>
      <c r="B84" s="6" t="s">
        <v>825</v>
      </c>
      <c r="C84" s="6" t="s">
        <v>715</v>
      </c>
      <c r="D84" s="6" t="s">
        <v>823</v>
      </c>
      <c r="E84" s="6" t="s">
        <v>652</v>
      </c>
      <c r="F84" s="6" t="n">
        <v>1</v>
      </c>
      <c r="G84" s="6"/>
    </row>
    <row r="85" customFormat="false" ht="23.25" hidden="false" customHeight="true" outlineLevel="0" collapsed="false">
      <c r="A85" s="6" t="s">
        <v>826</v>
      </c>
      <c r="B85" s="6" t="s">
        <v>827</v>
      </c>
      <c r="C85" s="6" t="s">
        <v>715</v>
      </c>
      <c r="D85" s="6" t="s">
        <v>823</v>
      </c>
      <c r="E85" s="6" t="s">
        <v>652</v>
      </c>
      <c r="F85" s="6" t="n">
        <v>1</v>
      </c>
      <c r="G85" s="6"/>
    </row>
    <row r="86" customFormat="false" ht="23.25" hidden="false" customHeight="true" outlineLevel="0" collapsed="false">
      <c r="A86" s="6" t="s">
        <v>828</v>
      </c>
      <c r="B86" s="6" t="s">
        <v>829</v>
      </c>
      <c r="C86" s="6" t="s">
        <v>715</v>
      </c>
      <c r="D86" s="6" t="s">
        <v>823</v>
      </c>
      <c r="E86" s="6" t="s">
        <v>652</v>
      </c>
      <c r="F86" s="6" t="n">
        <v>1</v>
      </c>
      <c r="G86" s="6" t="s">
        <v>830</v>
      </c>
    </row>
    <row r="87" customFormat="false" ht="15" hidden="false" customHeight="true" outlineLevel="0" collapsed="false">
      <c r="A87" s="6" t="s">
        <v>831</v>
      </c>
      <c r="B87" s="6" t="s">
        <v>832</v>
      </c>
      <c r="C87" s="6" t="s">
        <v>833</v>
      </c>
      <c r="D87" s="6" t="s">
        <v>834</v>
      </c>
      <c r="E87" s="6" t="s">
        <v>835</v>
      </c>
      <c r="F87" s="6" t="n">
        <v>1</v>
      </c>
      <c r="G87" s="6"/>
    </row>
    <row r="88" customFormat="false" ht="15" hidden="false" customHeight="true" outlineLevel="0" collapsed="false">
      <c r="A88" s="6" t="s">
        <v>836</v>
      </c>
      <c r="B88" s="6" t="s">
        <v>837</v>
      </c>
      <c r="C88" s="6" t="s">
        <v>833</v>
      </c>
      <c r="D88" s="6" t="s">
        <v>834</v>
      </c>
      <c r="E88" s="6" t="s">
        <v>835</v>
      </c>
      <c r="F88" s="6" t="n">
        <v>1</v>
      </c>
      <c r="G88" s="6"/>
    </row>
    <row r="89" customFormat="false" ht="15" hidden="false" customHeight="true" outlineLevel="0" collapsed="false">
      <c r="A89" s="6" t="s">
        <v>838</v>
      </c>
      <c r="B89" s="6" t="s">
        <v>839</v>
      </c>
      <c r="C89" s="6" t="s">
        <v>833</v>
      </c>
      <c r="D89" s="6" t="s">
        <v>834</v>
      </c>
      <c r="E89" s="6" t="s">
        <v>835</v>
      </c>
      <c r="F89" s="6" t="n">
        <v>1</v>
      </c>
      <c r="G89" s="6"/>
    </row>
    <row r="90" customFormat="false" ht="15" hidden="false" customHeight="true" outlineLevel="0" collapsed="false">
      <c r="A90" s="6" t="s">
        <v>840</v>
      </c>
      <c r="B90" s="6" t="s">
        <v>841</v>
      </c>
      <c r="C90" s="6" t="s">
        <v>833</v>
      </c>
      <c r="D90" s="6" t="s">
        <v>834</v>
      </c>
      <c r="E90" s="6" t="s">
        <v>835</v>
      </c>
      <c r="F90" s="6" t="n">
        <v>7</v>
      </c>
      <c r="G90" s="6"/>
    </row>
    <row r="91" customFormat="false" ht="15" hidden="false" customHeight="true" outlineLevel="0" collapsed="false">
      <c r="A91" s="6" t="s">
        <v>842</v>
      </c>
      <c r="B91" s="6" t="s">
        <v>843</v>
      </c>
      <c r="C91" s="6" t="s">
        <v>833</v>
      </c>
      <c r="D91" s="6" t="s">
        <v>834</v>
      </c>
      <c r="E91" s="6" t="s">
        <v>835</v>
      </c>
      <c r="F91" s="6" t="n">
        <v>3</v>
      </c>
      <c r="G91" s="6"/>
    </row>
    <row r="92" customFormat="false" ht="15" hidden="false" customHeight="true" outlineLevel="0" collapsed="false">
      <c r="A92" s="6" t="s">
        <v>844</v>
      </c>
      <c r="B92" s="6" t="s">
        <v>845</v>
      </c>
      <c r="C92" s="6" t="s">
        <v>833</v>
      </c>
      <c r="D92" s="6" t="s">
        <v>834</v>
      </c>
      <c r="E92" s="6" t="s">
        <v>835</v>
      </c>
      <c r="F92" s="6" t="n">
        <v>4</v>
      </c>
      <c r="G92" s="6"/>
    </row>
    <row r="93" customFormat="false" ht="15" hidden="false" customHeight="true" outlineLevel="0" collapsed="false">
      <c r="A93" s="6" t="s">
        <v>846</v>
      </c>
      <c r="B93" s="6" t="s">
        <v>847</v>
      </c>
      <c r="C93" s="6" t="s">
        <v>833</v>
      </c>
      <c r="D93" s="6" t="s">
        <v>834</v>
      </c>
      <c r="E93" s="6" t="s">
        <v>835</v>
      </c>
      <c r="F93" s="6" t="n">
        <v>1</v>
      </c>
      <c r="G93" s="6"/>
    </row>
    <row r="94" customFormat="false" ht="15" hidden="false" customHeight="true" outlineLevel="0" collapsed="false">
      <c r="A94" s="6" t="s">
        <v>848</v>
      </c>
      <c r="B94" s="6" t="s">
        <v>849</v>
      </c>
      <c r="C94" s="6" t="s">
        <v>833</v>
      </c>
      <c r="D94" s="6" t="s">
        <v>834</v>
      </c>
      <c r="E94" s="6" t="s">
        <v>835</v>
      </c>
      <c r="F94" s="6" t="n">
        <v>1</v>
      </c>
      <c r="G94" s="6"/>
    </row>
    <row r="95" customFormat="false" ht="15" hidden="false" customHeight="true" outlineLevel="0" collapsed="false">
      <c r="A95" s="6" t="s">
        <v>850</v>
      </c>
      <c r="B95" s="6" t="s">
        <v>851</v>
      </c>
      <c r="C95" s="6" t="s">
        <v>833</v>
      </c>
      <c r="D95" s="6" t="s">
        <v>834</v>
      </c>
      <c r="E95" s="6" t="s">
        <v>835</v>
      </c>
      <c r="F95" s="6" t="n">
        <v>1</v>
      </c>
      <c r="G95" s="6"/>
    </row>
    <row r="96" customFormat="false" ht="15" hidden="false" customHeight="true" outlineLevel="0" collapsed="false">
      <c r="A96" s="6" t="s">
        <v>852</v>
      </c>
      <c r="B96" s="6" t="s">
        <v>853</v>
      </c>
      <c r="C96" s="6" t="s">
        <v>833</v>
      </c>
      <c r="D96" s="6" t="s">
        <v>834</v>
      </c>
      <c r="E96" s="6" t="s">
        <v>835</v>
      </c>
      <c r="F96" s="6" t="n">
        <v>3</v>
      </c>
      <c r="G96" s="6"/>
    </row>
    <row r="97" customFormat="false" ht="15" hidden="false" customHeight="true" outlineLevel="0" collapsed="false">
      <c r="A97" s="6" t="s">
        <v>854</v>
      </c>
      <c r="B97" s="6" t="s">
        <v>855</v>
      </c>
      <c r="C97" s="6" t="s">
        <v>833</v>
      </c>
      <c r="D97" s="6" t="s">
        <v>834</v>
      </c>
      <c r="E97" s="6" t="s">
        <v>835</v>
      </c>
      <c r="F97" s="6" t="n">
        <v>1</v>
      </c>
      <c r="G97" s="6"/>
    </row>
    <row r="98" customFormat="false" ht="15" hidden="false" customHeight="true" outlineLevel="0" collapsed="false">
      <c r="A98" s="6" t="s">
        <v>856</v>
      </c>
      <c r="B98" s="6" t="s">
        <v>857</v>
      </c>
      <c r="C98" s="6" t="s">
        <v>833</v>
      </c>
      <c r="D98" s="6" t="s">
        <v>834</v>
      </c>
      <c r="E98" s="6" t="s">
        <v>835</v>
      </c>
      <c r="F98" s="6" t="n">
        <v>4</v>
      </c>
      <c r="G98" s="6"/>
    </row>
    <row r="99" customFormat="false" ht="15" hidden="false" customHeight="true" outlineLevel="0" collapsed="false">
      <c r="A99" s="6" t="s">
        <v>858</v>
      </c>
      <c r="B99" s="6" t="s">
        <v>859</v>
      </c>
      <c r="C99" s="6" t="s">
        <v>833</v>
      </c>
      <c r="D99" s="6" t="s">
        <v>834</v>
      </c>
      <c r="E99" s="6" t="s">
        <v>835</v>
      </c>
      <c r="F99" s="6" t="n">
        <v>1</v>
      </c>
      <c r="G99" s="6"/>
    </row>
    <row r="100" customFormat="false" ht="15" hidden="false" customHeight="true" outlineLevel="0" collapsed="false">
      <c r="A100" s="6" t="s">
        <v>860</v>
      </c>
      <c r="B100" s="6" t="s">
        <v>861</v>
      </c>
      <c r="C100" s="6" t="s">
        <v>833</v>
      </c>
      <c r="D100" s="6" t="s">
        <v>834</v>
      </c>
      <c r="E100" s="6" t="s">
        <v>835</v>
      </c>
      <c r="F100" s="6" t="n">
        <v>1</v>
      </c>
      <c r="G100" s="6"/>
    </row>
    <row r="101" customFormat="false" ht="15" hidden="false" customHeight="true" outlineLevel="0" collapsed="false">
      <c r="A101" s="6" t="s">
        <v>862</v>
      </c>
      <c r="B101" s="6" t="s">
        <v>863</v>
      </c>
      <c r="C101" s="6" t="s">
        <v>833</v>
      </c>
      <c r="D101" s="6" t="s">
        <v>834</v>
      </c>
      <c r="E101" s="6" t="s">
        <v>835</v>
      </c>
      <c r="F101" s="6" t="n">
        <v>6</v>
      </c>
      <c r="G101" s="6"/>
    </row>
    <row r="102" customFormat="false" ht="15" hidden="false" customHeight="true" outlineLevel="0" collapsed="false">
      <c r="A102" s="6" t="s">
        <v>864</v>
      </c>
      <c r="B102" s="6" t="s">
        <v>865</v>
      </c>
      <c r="C102" s="6" t="s">
        <v>833</v>
      </c>
      <c r="D102" s="6" t="s">
        <v>834</v>
      </c>
      <c r="E102" s="6" t="s">
        <v>835</v>
      </c>
      <c r="F102" s="6" t="n">
        <v>1</v>
      </c>
      <c r="G102" s="6"/>
    </row>
    <row r="103" customFormat="false" ht="15" hidden="false" customHeight="true" outlineLevel="0" collapsed="false">
      <c r="A103" s="6" t="s">
        <v>866</v>
      </c>
      <c r="B103" s="6" t="s">
        <v>867</v>
      </c>
      <c r="C103" s="6" t="s">
        <v>833</v>
      </c>
      <c r="D103" s="6" t="s">
        <v>834</v>
      </c>
      <c r="E103" s="6" t="s">
        <v>835</v>
      </c>
      <c r="F103" s="6" t="n">
        <v>1</v>
      </c>
      <c r="G103" s="6"/>
    </row>
    <row r="104" customFormat="false" ht="15" hidden="false" customHeight="true" outlineLevel="0" collapsed="false">
      <c r="A104" s="6" t="s">
        <v>868</v>
      </c>
      <c r="B104" s="6" t="s">
        <v>869</v>
      </c>
      <c r="C104" s="6" t="s">
        <v>833</v>
      </c>
      <c r="D104" s="6" t="s">
        <v>834</v>
      </c>
      <c r="E104" s="6" t="s">
        <v>835</v>
      </c>
      <c r="F104" s="6" t="n">
        <v>1</v>
      </c>
      <c r="G104" s="6"/>
    </row>
    <row r="105" customFormat="false" ht="15" hidden="false" customHeight="true" outlineLevel="0" collapsed="false">
      <c r="A105" s="6" t="s">
        <v>870</v>
      </c>
      <c r="B105" s="6" t="s">
        <v>871</v>
      </c>
      <c r="C105" s="6" t="s">
        <v>833</v>
      </c>
      <c r="D105" s="6" t="s">
        <v>834</v>
      </c>
      <c r="E105" s="6" t="s">
        <v>835</v>
      </c>
      <c r="F105" s="6" t="n">
        <v>1</v>
      </c>
      <c r="G105" s="6"/>
    </row>
    <row r="106" customFormat="false" ht="15" hidden="false" customHeight="true" outlineLevel="0" collapsed="false">
      <c r="A106" s="6" t="s">
        <v>872</v>
      </c>
      <c r="B106" s="6" t="s">
        <v>873</v>
      </c>
      <c r="C106" s="6" t="s">
        <v>833</v>
      </c>
      <c r="D106" s="6" t="s">
        <v>834</v>
      </c>
      <c r="E106" s="6" t="s">
        <v>835</v>
      </c>
      <c r="F106" s="6" t="n">
        <v>4</v>
      </c>
      <c r="G106" s="6"/>
    </row>
    <row r="107" customFormat="false" ht="15" hidden="false" customHeight="true" outlineLevel="0" collapsed="false">
      <c r="A107" s="6" t="s">
        <v>874</v>
      </c>
      <c r="B107" s="6" t="s">
        <v>875</v>
      </c>
      <c r="C107" s="6" t="s">
        <v>833</v>
      </c>
      <c r="D107" s="6" t="s">
        <v>834</v>
      </c>
      <c r="E107" s="6" t="s">
        <v>835</v>
      </c>
      <c r="F107" s="6" t="n">
        <v>1</v>
      </c>
      <c r="G107" s="6" t="s">
        <v>876</v>
      </c>
    </row>
    <row r="108" customFormat="false" ht="23.25" hidden="false" customHeight="true" outlineLevel="0" collapsed="false">
      <c r="A108" s="6" t="s">
        <v>877</v>
      </c>
      <c r="B108" s="6" t="s">
        <v>878</v>
      </c>
      <c r="C108" s="6" t="s">
        <v>879</v>
      </c>
      <c r="D108" s="6" t="s">
        <v>834</v>
      </c>
      <c r="E108" s="6" t="s">
        <v>652</v>
      </c>
      <c r="F108" s="6" t="n">
        <v>1</v>
      </c>
      <c r="G108" s="6"/>
    </row>
    <row r="109" customFormat="false" ht="23.25" hidden="false" customHeight="true" outlineLevel="0" collapsed="false">
      <c r="A109" s="6" t="s">
        <v>880</v>
      </c>
      <c r="B109" s="6" t="s">
        <v>881</v>
      </c>
      <c r="C109" s="6" t="s">
        <v>879</v>
      </c>
      <c r="D109" s="6" t="s">
        <v>834</v>
      </c>
      <c r="E109" s="6" t="s">
        <v>652</v>
      </c>
      <c r="F109" s="6" t="n">
        <v>1</v>
      </c>
      <c r="G109" s="6"/>
    </row>
    <row r="110" customFormat="false" ht="23.25" hidden="false" customHeight="true" outlineLevel="0" collapsed="false">
      <c r="A110" s="6" t="s">
        <v>882</v>
      </c>
      <c r="B110" s="6" t="s">
        <v>883</v>
      </c>
      <c r="C110" s="6" t="s">
        <v>879</v>
      </c>
      <c r="D110" s="6" t="s">
        <v>834</v>
      </c>
      <c r="E110" s="6" t="s">
        <v>652</v>
      </c>
      <c r="F110" s="6" t="n">
        <v>1</v>
      </c>
      <c r="G110" s="6"/>
    </row>
    <row r="111" customFormat="false" ht="23.25" hidden="false" customHeight="true" outlineLevel="0" collapsed="false">
      <c r="A111" s="6" t="s">
        <v>884</v>
      </c>
      <c r="B111" s="6" t="s">
        <v>885</v>
      </c>
      <c r="C111" s="6" t="s">
        <v>879</v>
      </c>
      <c r="D111" s="6" t="s">
        <v>834</v>
      </c>
      <c r="E111" s="6" t="s">
        <v>652</v>
      </c>
      <c r="F111" s="6" t="n">
        <v>1</v>
      </c>
      <c r="G111" s="6"/>
    </row>
    <row r="112" customFormat="false" ht="23.25" hidden="false" customHeight="true" outlineLevel="0" collapsed="false">
      <c r="A112" s="6" t="s">
        <v>886</v>
      </c>
      <c r="B112" s="6" t="s">
        <v>887</v>
      </c>
      <c r="C112" s="6" t="s">
        <v>879</v>
      </c>
      <c r="D112" s="6" t="s">
        <v>834</v>
      </c>
      <c r="E112" s="6" t="s">
        <v>652</v>
      </c>
      <c r="F112" s="6" t="n">
        <v>9</v>
      </c>
      <c r="G112" s="6"/>
    </row>
    <row r="113" customFormat="false" ht="23.25" hidden="false" customHeight="true" outlineLevel="0" collapsed="false">
      <c r="A113" s="6" t="s">
        <v>888</v>
      </c>
      <c r="B113" s="6" t="s">
        <v>889</v>
      </c>
      <c r="C113" s="6" t="s">
        <v>879</v>
      </c>
      <c r="D113" s="6" t="s">
        <v>834</v>
      </c>
      <c r="E113" s="6" t="s">
        <v>652</v>
      </c>
      <c r="F113" s="6" t="n">
        <v>16</v>
      </c>
      <c r="G113" s="6"/>
    </row>
    <row r="114" customFormat="false" ht="23.25" hidden="false" customHeight="true" outlineLevel="0" collapsed="false">
      <c r="A114" s="6" t="s">
        <v>890</v>
      </c>
      <c r="B114" s="6" t="s">
        <v>891</v>
      </c>
      <c r="C114" s="6" t="s">
        <v>879</v>
      </c>
      <c r="D114" s="6" t="s">
        <v>834</v>
      </c>
      <c r="E114" s="6" t="s">
        <v>652</v>
      </c>
      <c r="F114" s="6" t="n">
        <v>1</v>
      </c>
      <c r="G114" s="6"/>
    </row>
    <row r="115" customFormat="false" ht="23.25" hidden="false" customHeight="true" outlineLevel="0" collapsed="false">
      <c r="A115" s="6" t="s">
        <v>892</v>
      </c>
      <c r="B115" s="6" t="s">
        <v>893</v>
      </c>
      <c r="C115" s="6" t="s">
        <v>879</v>
      </c>
      <c r="D115" s="6" t="s">
        <v>834</v>
      </c>
      <c r="E115" s="6" t="s">
        <v>652</v>
      </c>
      <c r="F115" s="6" t="n">
        <v>1</v>
      </c>
      <c r="G115" s="6" t="s">
        <v>894</v>
      </c>
    </row>
    <row r="116" customFormat="false" ht="23.25" hidden="false" customHeight="true" outlineLevel="0" collapsed="false">
      <c r="A116" s="6" t="s">
        <v>895</v>
      </c>
      <c r="B116" s="6" t="s">
        <v>896</v>
      </c>
      <c r="C116" s="6" t="s">
        <v>879</v>
      </c>
      <c r="D116" s="6" t="s">
        <v>834</v>
      </c>
      <c r="E116" s="6" t="s">
        <v>652</v>
      </c>
      <c r="F116" s="6" t="n">
        <v>1</v>
      </c>
      <c r="G116" s="6" t="s">
        <v>897</v>
      </c>
    </row>
    <row r="117" customFormat="false" ht="23.25" hidden="false" customHeight="true" outlineLevel="0" collapsed="false">
      <c r="A117" s="6" t="s">
        <v>898</v>
      </c>
      <c r="B117" s="6" t="s">
        <v>899</v>
      </c>
      <c r="C117" s="6" t="s">
        <v>879</v>
      </c>
      <c r="D117" s="6" t="s">
        <v>834</v>
      </c>
      <c r="E117" s="6" t="s">
        <v>652</v>
      </c>
      <c r="F117" s="6" t="n">
        <v>1</v>
      </c>
      <c r="G117" s="6" t="s">
        <v>897</v>
      </c>
    </row>
    <row r="118" customFormat="false" ht="23.25" hidden="false" customHeight="true" outlineLevel="0" collapsed="false">
      <c r="A118" s="6" t="s">
        <v>900</v>
      </c>
      <c r="B118" s="6" t="s">
        <v>901</v>
      </c>
      <c r="C118" s="6" t="s">
        <v>879</v>
      </c>
      <c r="D118" s="6" t="s">
        <v>834</v>
      </c>
      <c r="E118" s="6" t="s">
        <v>652</v>
      </c>
      <c r="F118" s="6" t="n">
        <v>1</v>
      </c>
      <c r="G118" s="6" t="s">
        <v>830</v>
      </c>
    </row>
    <row r="119" customFormat="false" ht="23.25" hidden="false" customHeight="true" outlineLevel="0" collapsed="false">
      <c r="A119" s="6" t="s">
        <v>902</v>
      </c>
      <c r="B119" s="6" t="s">
        <v>903</v>
      </c>
      <c r="C119" s="6" t="s">
        <v>879</v>
      </c>
      <c r="D119" s="6" t="s">
        <v>834</v>
      </c>
      <c r="E119" s="6" t="s">
        <v>652</v>
      </c>
      <c r="F119" s="6" t="n">
        <v>1</v>
      </c>
      <c r="G119" s="6"/>
    </row>
    <row r="120" customFormat="false" ht="23.25" hidden="false" customHeight="true" outlineLevel="0" collapsed="false">
      <c r="A120" s="6" t="s">
        <v>904</v>
      </c>
      <c r="B120" s="6" t="s">
        <v>905</v>
      </c>
      <c r="C120" s="6" t="s">
        <v>879</v>
      </c>
      <c r="D120" s="6" t="s">
        <v>834</v>
      </c>
      <c r="E120" s="6" t="s">
        <v>652</v>
      </c>
      <c r="F120" s="6" t="n">
        <v>1</v>
      </c>
      <c r="G120" s="6"/>
    </row>
    <row r="121" customFormat="false" ht="23.25" hidden="false" customHeight="true" outlineLevel="0" collapsed="false">
      <c r="A121" s="6" t="s">
        <v>906</v>
      </c>
      <c r="B121" s="6" t="s">
        <v>907</v>
      </c>
      <c r="C121" s="6" t="s">
        <v>879</v>
      </c>
      <c r="D121" s="6" t="s">
        <v>834</v>
      </c>
      <c r="E121" s="6" t="s">
        <v>652</v>
      </c>
      <c r="F121" s="6" t="n">
        <v>1</v>
      </c>
      <c r="G121" s="6"/>
    </row>
    <row r="122" customFormat="false" ht="23.25" hidden="false" customHeight="true" outlineLevel="0" collapsed="false">
      <c r="A122" s="6" t="s">
        <v>908</v>
      </c>
      <c r="B122" s="6" t="s">
        <v>909</v>
      </c>
      <c r="C122" s="6" t="s">
        <v>879</v>
      </c>
      <c r="D122" s="6" t="s">
        <v>834</v>
      </c>
      <c r="E122" s="6" t="s">
        <v>652</v>
      </c>
      <c r="F122" s="6" t="n">
        <v>1</v>
      </c>
      <c r="G122" s="6"/>
    </row>
    <row r="123" customFormat="false" ht="23.25" hidden="false" customHeight="true" outlineLevel="0" collapsed="false">
      <c r="A123" s="6" t="s">
        <v>910</v>
      </c>
      <c r="B123" s="6" t="s">
        <v>911</v>
      </c>
      <c r="C123" s="6" t="s">
        <v>879</v>
      </c>
      <c r="D123" s="6" t="s">
        <v>834</v>
      </c>
      <c r="E123" s="6" t="s">
        <v>652</v>
      </c>
      <c r="F123" s="6" t="n">
        <v>1</v>
      </c>
      <c r="G123" s="6"/>
    </row>
    <row r="124" customFormat="false" ht="23.25" hidden="false" customHeight="true" outlineLevel="0" collapsed="false">
      <c r="A124" s="6" t="s">
        <v>912</v>
      </c>
      <c r="B124" s="6" t="s">
        <v>913</v>
      </c>
      <c r="C124" s="6" t="s">
        <v>879</v>
      </c>
      <c r="D124" s="6" t="s">
        <v>834</v>
      </c>
      <c r="E124" s="6" t="s">
        <v>652</v>
      </c>
      <c r="F124" s="6" t="n">
        <v>1</v>
      </c>
      <c r="G124" s="6"/>
    </row>
    <row r="125" customFormat="false" ht="23.25" hidden="false" customHeight="true" outlineLevel="0" collapsed="false">
      <c r="A125" s="6" t="s">
        <v>914</v>
      </c>
      <c r="B125" s="6" t="s">
        <v>915</v>
      </c>
      <c r="C125" s="6" t="s">
        <v>879</v>
      </c>
      <c r="D125" s="6" t="s">
        <v>834</v>
      </c>
      <c r="E125" s="6" t="s">
        <v>652</v>
      </c>
      <c r="F125" s="6" t="n">
        <v>1</v>
      </c>
      <c r="G125" s="6"/>
    </row>
    <row r="126" customFormat="false" ht="23.25" hidden="false" customHeight="true" outlineLevel="0" collapsed="false">
      <c r="A126" s="6" t="s">
        <v>916</v>
      </c>
      <c r="B126" s="6" t="s">
        <v>917</v>
      </c>
      <c r="C126" s="6" t="s">
        <v>879</v>
      </c>
      <c r="D126" s="6" t="s">
        <v>834</v>
      </c>
      <c r="E126" s="6" t="s">
        <v>652</v>
      </c>
      <c r="F126" s="6" t="n">
        <v>1</v>
      </c>
      <c r="G126" s="6"/>
    </row>
    <row r="127" customFormat="false" ht="23.25" hidden="false" customHeight="true" outlineLevel="0" collapsed="false">
      <c r="A127" s="6" t="s">
        <v>918</v>
      </c>
      <c r="B127" s="6" t="s">
        <v>919</v>
      </c>
      <c r="C127" s="6" t="s">
        <v>879</v>
      </c>
      <c r="D127" s="6" t="s">
        <v>834</v>
      </c>
      <c r="E127" s="6" t="s">
        <v>652</v>
      </c>
      <c r="F127" s="6" t="n">
        <v>1</v>
      </c>
      <c r="G127" s="6"/>
    </row>
    <row r="128" customFormat="false" ht="23.25" hidden="false" customHeight="true" outlineLevel="0" collapsed="false">
      <c r="A128" s="6" t="s">
        <v>920</v>
      </c>
      <c r="B128" s="6" t="s">
        <v>921</v>
      </c>
      <c r="C128" s="6" t="s">
        <v>879</v>
      </c>
      <c r="D128" s="6" t="s">
        <v>834</v>
      </c>
      <c r="E128" s="6" t="s">
        <v>652</v>
      </c>
      <c r="F128" s="6" t="n">
        <v>1</v>
      </c>
      <c r="G128" s="6"/>
    </row>
    <row r="129" customFormat="false" ht="23.25" hidden="false" customHeight="true" outlineLevel="0" collapsed="false">
      <c r="A129" s="6" t="s">
        <v>922</v>
      </c>
      <c r="B129" s="6" t="s">
        <v>923</v>
      </c>
      <c r="C129" s="6" t="s">
        <v>879</v>
      </c>
      <c r="D129" s="6" t="s">
        <v>834</v>
      </c>
      <c r="E129" s="6" t="s">
        <v>652</v>
      </c>
      <c r="F129" s="6" t="n">
        <v>1</v>
      </c>
      <c r="G129" s="6"/>
    </row>
    <row r="130" customFormat="false" ht="15" hidden="false" customHeight="true" outlineLevel="0" collapsed="false">
      <c r="A130" s="6" t="s">
        <v>924</v>
      </c>
      <c r="B130" s="6" t="s">
        <v>925</v>
      </c>
      <c r="C130" s="6" t="s">
        <v>926</v>
      </c>
      <c r="D130" s="6" t="s">
        <v>927</v>
      </c>
      <c r="E130" s="6" t="s">
        <v>835</v>
      </c>
      <c r="F130" s="6" t="n">
        <v>1</v>
      </c>
      <c r="G130" s="6"/>
    </row>
    <row r="131" customFormat="false" ht="15" hidden="false" customHeight="true" outlineLevel="0" collapsed="false">
      <c r="A131" s="6" t="s">
        <v>928</v>
      </c>
      <c r="B131" s="6" t="s">
        <v>929</v>
      </c>
      <c r="C131" s="6" t="s">
        <v>926</v>
      </c>
      <c r="D131" s="6" t="s">
        <v>927</v>
      </c>
      <c r="E131" s="6" t="s">
        <v>835</v>
      </c>
      <c r="F131" s="6" t="n">
        <v>1</v>
      </c>
      <c r="G131" s="6"/>
    </row>
    <row r="132" customFormat="false" ht="15" hidden="false" customHeight="true" outlineLevel="0" collapsed="false">
      <c r="A132" s="6" t="s">
        <v>930</v>
      </c>
      <c r="B132" s="6" t="s">
        <v>931</v>
      </c>
      <c r="C132" s="6" t="s">
        <v>926</v>
      </c>
      <c r="D132" s="6" t="s">
        <v>927</v>
      </c>
      <c r="E132" s="6" t="s">
        <v>835</v>
      </c>
      <c r="F132" s="6" t="n">
        <v>1</v>
      </c>
      <c r="G132" s="6"/>
    </row>
    <row r="133" customFormat="false" ht="15" hidden="false" customHeight="true" outlineLevel="0" collapsed="false">
      <c r="A133" s="6" t="s">
        <v>932</v>
      </c>
      <c r="B133" s="6" t="s">
        <v>933</v>
      </c>
      <c r="C133" s="6" t="s">
        <v>926</v>
      </c>
      <c r="D133" s="6" t="s">
        <v>927</v>
      </c>
      <c r="E133" s="6" t="s">
        <v>835</v>
      </c>
      <c r="F133" s="6" t="n">
        <v>1</v>
      </c>
      <c r="G133" s="6"/>
    </row>
    <row r="134" customFormat="false" ht="15" hidden="false" customHeight="true" outlineLevel="0" collapsed="false">
      <c r="A134" s="6" t="s">
        <v>934</v>
      </c>
      <c r="B134" s="6" t="s">
        <v>935</v>
      </c>
      <c r="C134" s="6" t="s">
        <v>926</v>
      </c>
      <c r="D134" s="6" t="s">
        <v>927</v>
      </c>
      <c r="E134" s="6" t="s">
        <v>835</v>
      </c>
      <c r="F134" s="6" t="n">
        <v>1</v>
      </c>
      <c r="G134" s="6"/>
    </row>
    <row r="135" customFormat="false" ht="15" hidden="false" customHeight="true" outlineLevel="0" collapsed="false">
      <c r="A135" s="6" t="s">
        <v>936</v>
      </c>
      <c r="B135" s="6" t="s">
        <v>937</v>
      </c>
      <c r="C135" s="6" t="s">
        <v>926</v>
      </c>
      <c r="D135" s="6" t="s">
        <v>927</v>
      </c>
      <c r="E135" s="6" t="s">
        <v>835</v>
      </c>
      <c r="F135" s="6" t="n">
        <v>1</v>
      </c>
      <c r="G135" s="6"/>
    </row>
    <row r="136" customFormat="false" ht="15" hidden="false" customHeight="true" outlineLevel="0" collapsed="false">
      <c r="A136" s="6" t="s">
        <v>938</v>
      </c>
      <c r="B136" s="6" t="s">
        <v>939</v>
      </c>
      <c r="C136" s="6" t="s">
        <v>926</v>
      </c>
      <c r="D136" s="6" t="s">
        <v>927</v>
      </c>
      <c r="E136" s="6" t="s">
        <v>835</v>
      </c>
      <c r="F136" s="6" t="n">
        <v>1</v>
      </c>
      <c r="G136" s="6"/>
    </row>
    <row r="137" customFormat="false" ht="23.25" hidden="false" customHeight="true" outlineLevel="0" collapsed="false">
      <c r="A137" s="6" t="s">
        <v>940</v>
      </c>
      <c r="B137" s="6" t="s">
        <v>941</v>
      </c>
      <c r="C137" s="6" t="s">
        <v>926</v>
      </c>
      <c r="D137" s="6" t="s">
        <v>927</v>
      </c>
      <c r="E137" s="6" t="s">
        <v>835</v>
      </c>
      <c r="F137" s="6" t="n">
        <v>1</v>
      </c>
      <c r="G137" s="6"/>
    </row>
    <row r="138" customFormat="false" ht="15" hidden="false" customHeight="true" outlineLevel="0" collapsed="false">
      <c r="A138" s="6" t="s">
        <v>942</v>
      </c>
      <c r="B138" s="6" t="s">
        <v>943</v>
      </c>
      <c r="C138" s="6" t="s">
        <v>926</v>
      </c>
      <c r="D138" s="6" t="s">
        <v>927</v>
      </c>
      <c r="E138" s="6" t="s">
        <v>835</v>
      </c>
      <c r="F138" s="6" t="n">
        <v>1</v>
      </c>
      <c r="G138" s="6"/>
    </row>
    <row r="139" customFormat="false" ht="15" hidden="false" customHeight="true" outlineLevel="0" collapsed="false">
      <c r="A139" s="6" t="s">
        <v>944</v>
      </c>
      <c r="B139" s="6" t="s">
        <v>945</v>
      </c>
      <c r="C139" s="6" t="s">
        <v>926</v>
      </c>
      <c r="D139" s="6" t="s">
        <v>927</v>
      </c>
      <c r="E139" s="6" t="s">
        <v>835</v>
      </c>
      <c r="F139" s="6" t="n">
        <v>1</v>
      </c>
      <c r="G139" s="6"/>
    </row>
    <row r="140" customFormat="false" ht="15" hidden="false" customHeight="true" outlineLevel="0" collapsed="false">
      <c r="A140" s="6" t="s">
        <v>946</v>
      </c>
      <c r="B140" s="6" t="s">
        <v>947</v>
      </c>
      <c r="C140" s="6" t="s">
        <v>926</v>
      </c>
      <c r="D140" s="6" t="s">
        <v>927</v>
      </c>
      <c r="E140" s="6" t="s">
        <v>835</v>
      </c>
      <c r="F140" s="6" t="n">
        <v>1</v>
      </c>
      <c r="G140" s="6"/>
    </row>
    <row r="141" customFormat="false" ht="15" hidden="false" customHeight="true" outlineLevel="0" collapsed="false">
      <c r="A141" s="6" t="s">
        <v>948</v>
      </c>
      <c r="B141" s="6" t="s">
        <v>949</v>
      </c>
      <c r="C141" s="6" t="s">
        <v>926</v>
      </c>
      <c r="D141" s="6" t="s">
        <v>927</v>
      </c>
      <c r="E141" s="6" t="s">
        <v>835</v>
      </c>
      <c r="F141" s="6" t="n">
        <v>1</v>
      </c>
      <c r="G141" s="6"/>
    </row>
    <row r="142" customFormat="false" ht="15" hidden="false" customHeight="true" outlineLevel="0" collapsed="false">
      <c r="A142" s="6" t="s">
        <v>950</v>
      </c>
      <c r="B142" s="6" t="s">
        <v>951</v>
      </c>
      <c r="C142" s="6" t="s">
        <v>926</v>
      </c>
      <c r="D142" s="6" t="s">
        <v>927</v>
      </c>
      <c r="E142" s="6" t="s">
        <v>835</v>
      </c>
      <c r="F142" s="6" t="n">
        <v>9</v>
      </c>
      <c r="G142" s="6"/>
    </row>
    <row r="143" customFormat="false" ht="15" hidden="false" customHeight="true" outlineLevel="0" collapsed="false">
      <c r="A143" s="6" t="s">
        <v>952</v>
      </c>
      <c r="B143" s="6" t="s">
        <v>953</v>
      </c>
      <c r="C143" s="6" t="s">
        <v>926</v>
      </c>
      <c r="D143" s="6" t="s">
        <v>927</v>
      </c>
      <c r="E143" s="6" t="s">
        <v>835</v>
      </c>
      <c r="F143" s="6" t="n">
        <v>1</v>
      </c>
      <c r="G143" s="6"/>
    </row>
    <row r="144" customFormat="false" ht="15" hidden="false" customHeight="true" outlineLevel="0" collapsed="false">
      <c r="A144" s="6" t="s">
        <v>954</v>
      </c>
      <c r="B144" s="6" t="s">
        <v>955</v>
      </c>
      <c r="C144" s="6" t="s">
        <v>926</v>
      </c>
      <c r="D144" s="6" t="s">
        <v>927</v>
      </c>
      <c r="E144" s="6" t="s">
        <v>835</v>
      </c>
      <c r="F144" s="6" t="n">
        <v>1</v>
      </c>
      <c r="G144" s="6"/>
    </row>
    <row r="145" customFormat="false" ht="15" hidden="false" customHeight="true" outlineLevel="0" collapsed="false">
      <c r="A145" s="6" t="s">
        <v>956</v>
      </c>
      <c r="B145" s="6" t="s">
        <v>957</v>
      </c>
      <c r="C145" s="6" t="s">
        <v>926</v>
      </c>
      <c r="D145" s="6" t="s">
        <v>927</v>
      </c>
      <c r="E145" s="6" t="s">
        <v>835</v>
      </c>
      <c r="F145" s="6" t="n">
        <v>5</v>
      </c>
      <c r="G145" s="6"/>
    </row>
    <row r="146" customFormat="false" ht="15" hidden="false" customHeight="true" outlineLevel="0" collapsed="false">
      <c r="A146" s="6" t="s">
        <v>958</v>
      </c>
      <c r="B146" s="6" t="s">
        <v>959</v>
      </c>
      <c r="C146" s="6" t="s">
        <v>926</v>
      </c>
      <c r="D146" s="6" t="s">
        <v>927</v>
      </c>
      <c r="E146" s="6" t="s">
        <v>835</v>
      </c>
      <c r="F146" s="6" t="n">
        <v>1</v>
      </c>
      <c r="G146" s="6" t="s">
        <v>960</v>
      </c>
    </row>
    <row r="147" customFormat="false" ht="23.25" hidden="false" customHeight="true" outlineLevel="0" collapsed="false">
      <c r="A147" s="6" t="s">
        <v>961</v>
      </c>
      <c r="B147" s="6" t="s">
        <v>962</v>
      </c>
      <c r="C147" s="6" t="s">
        <v>715</v>
      </c>
      <c r="D147" s="6" t="s">
        <v>927</v>
      </c>
      <c r="E147" s="6" t="s">
        <v>652</v>
      </c>
      <c r="F147" s="6" t="n">
        <v>1</v>
      </c>
      <c r="G147" s="6"/>
    </row>
    <row r="148" customFormat="false" ht="23.25" hidden="false" customHeight="true" outlineLevel="0" collapsed="false">
      <c r="A148" s="6" t="s">
        <v>963</v>
      </c>
      <c r="B148" s="6" t="s">
        <v>964</v>
      </c>
      <c r="C148" s="6" t="s">
        <v>715</v>
      </c>
      <c r="D148" s="6" t="s">
        <v>927</v>
      </c>
      <c r="E148" s="6" t="s">
        <v>652</v>
      </c>
      <c r="F148" s="6" t="n">
        <v>1</v>
      </c>
      <c r="G148" s="6"/>
    </row>
    <row r="149" customFormat="false" ht="23.25" hidden="false" customHeight="true" outlineLevel="0" collapsed="false">
      <c r="A149" s="6" t="s">
        <v>965</v>
      </c>
      <c r="B149" s="6" t="s">
        <v>966</v>
      </c>
      <c r="C149" s="6" t="s">
        <v>715</v>
      </c>
      <c r="D149" s="6" t="s">
        <v>927</v>
      </c>
      <c r="E149" s="6" t="s">
        <v>652</v>
      </c>
      <c r="F149" s="6" t="n">
        <v>1</v>
      </c>
      <c r="G149" s="6"/>
    </row>
    <row r="150" customFormat="false" ht="23.25" hidden="false" customHeight="true" outlineLevel="0" collapsed="false">
      <c r="A150" s="6" t="s">
        <v>967</v>
      </c>
      <c r="B150" s="6" t="s">
        <v>968</v>
      </c>
      <c r="C150" s="6" t="s">
        <v>715</v>
      </c>
      <c r="D150" s="6" t="s">
        <v>927</v>
      </c>
      <c r="E150" s="6" t="s">
        <v>652</v>
      </c>
      <c r="F150" s="6" t="n">
        <v>1</v>
      </c>
      <c r="G150" s="6"/>
    </row>
    <row r="151" customFormat="false" ht="15" hidden="false" customHeight="true" outlineLevel="0" collapsed="false">
      <c r="A151" s="6" t="s">
        <v>969</v>
      </c>
      <c r="B151" s="6" t="s">
        <v>970</v>
      </c>
      <c r="C151" s="6" t="s">
        <v>971</v>
      </c>
      <c r="D151" s="6" t="s">
        <v>927</v>
      </c>
      <c r="E151" s="6" t="s">
        <v>731</v>
      </c>
      <c r="F151" s="6" t="n">
        <v>1</v>
      </c>
      <c r="G151" s="6"/>
    </row>
    <row r="152" customFormat="false" ht="15" hidden="false" customHeight="true" outlineLevel="0" collapsed="false">
      <c r="A152" s="6" t="s">
        <v>972</v>
      </c>
      <c r="B152" s="6" t="s">
        <v>973</v>
      </c>
      <c r="C152" s="6" t="s">
        <v>971</v>
      </c>
      <c r="D152" s="6" t="s">
        <v>927</v>
      </c>
      <c r="E152" s="6" t="s">
        <v>731</v>
      </c>
      <c r="F152" s="6" t="n">
        <v>1</v>
      </c>
      <c r="G152" s="6"/>
    </row>
    <row r="153" customFormat="false" ht="23.25" hidden="false" customHeight="true" outlineLevel="0" collapsed="false">
      <c r="A153" s="6" t="s">
        <v>974</v>
      </c>
      <c r="B153" s="6" t="s">
        <v>975</v>
      </c>
      <c r="C153" s="6" t="s">
        <v>971</v>
      </c>
      <c r="D153" s="6" t="s">
        <v>927</v>
      </c>
      <c r="E153" s="6" t="s">
        <v>731</v>
      </c>
      <c r="F153" s="6" t="n">
        <v>1</v>
      </c>
      <c r="G153" s="6"/>
    </row>
    <row r="154" customFormat="false" ht="15" hidden="false" customHeight="true" outlineLevel="0" collapsed="false">
      <c r="A154" s="6" t="s">
        <v>976</v>
      </c>
      <c r="B154" s="6" t="s">
        <v>977</v>
      </c>
      <c r="C154" s="6" t="s">
        <v>971</v>
      </c>
      <c r="D154" s="6" t="s">
        <v>927</v>
      </c>
      <c r="E154" s="6" t="s">
        <v>731</v>
      </c>
      <c r="F154" s="6" t="n">
        <v>1</v>
      </c>
      <c r="G154" s="6"/>
    </row>
    <row r="155" customFormat="false" ht="23.25" hidden="false" customHeight="true" outlineLevel="0" collapsed="false">
      <c r="A155" s="6" t="s">
        <v>978</v>
      </c>
      <c r="B155" s="6" t="s">
        <v>979</v>
      </c>
      <c r="C155" s="6" t="s">
        <v>971</v>
      </c>
      <c r="D155" s="6" t="s">
        <v>927</v>
      </c>
      <c r="E155" s="6" t="s">
        <v>731</v>
      </c>
      <c r="F155" s="6" t="n">
        <v>1</v>
      </c>
      <c r="G155" s="6"/>
    </row>
    <row r="156" customFormat="false" ht="15" hidden="false" customHeight="true" outlineLevel="0" collapsed="false">
      <c r="A156" s="6" t="s">
        <v>980</v>
      </c>
      <c r="B156" s="6" t="s">
        <v>981</v>
      </c>
      <c r="C156" s="6" t="s">
        <v>971</v>
      </c>
      <c r="D156" s="6" t="s">
        <v>927</v>
      </c>
      <c r="E156" s="6" t="s">
        <v>731</v>
      </c>
      <c r="F156" s="6" t="n">
        <v>1</v>
      </c>
      <c r="G156" s="6"/>
    </row>
    <row r="157" customFormat="false" ht="23.25" hidden="false" customHeight="true" outlineLevel="0" collapsed="false">
      <c r="A157" s="6" t="s">
        <v>982</v>
      </c>
      <c r="B157" s="6" t="s">
        <v>983</v>
      </c>
      <c r="C157" s="6" t="s">
        <v>971</v>
      </c>
      <c r="D157" s="6" t="s">
        <v>927</v>
      </c>
      <c r="E157" s="6" t="s">
        <v>731</v>
      </c>
      <c r="F157" s="6" t="n">
        <v>1</v>
      </c>
      <c r="G157" s="6"/>
    </row>
    <row r="158" customFormat="false" ht="15" hidden="false" customHeight="true" outlineLevel="0" collapsed="false">
      <c r="A158" s="6" t="s">
        <v>984</v>
      </c>
      <c r="B158" s="6" t="s">
        <v>985</v>
      </c>
      <c r="C158" s="6" t="s">
        <v>971</v>
      </c>
      <c r="D158" s="6" t="s">
        <v>927</v>
      </c>
      <c r="E158" s="6" t="s">
        <v>731</v>
      </c>
      <c r="F158" s="6" t="n">
        <v>1</v>
      </c>
      <c r="G158" s="6"/>
    </row>
    <row r="159" customFormat="false" ht="15" hidden="false" customHeight="true" outlineLevel="0" collapsed="false">
      <c r="A159" s="6" t="s">
        <v>986</v>
      </c>
      <c r="B159" s="6" t="s">
        <v>987</v>
      </c>
      <c r="C159" s="6" t="s">
        <v>971</v>
      </c>
      <c r="D159" s="6" t="s">
        <v>927</v>
      </c>
      <c r="E159" s="6" t="s">
        <v>731</v>
      </c>
      <c r="F159" s="6" t="n">
        <v>1</v>
      </c>
      <c r="G159" s="6"/>
    </row>
    <row r="160" customFormat="false" ht="15" hidden="false" customHeight="true" outlineLevel="0" collapsed="false">
      <c r="A160" s="6" t="s">
        <v>988</v>
      </c>
      <c r="B160" s="6" t="s">
        <v>989</v>
      </c>
      <c r="C160" s="6" t="s">
        <v>971</v>
      </c>
      <c r="D160" s="6" t="s">
        <v>927</v>
      </c>
      <c r="E160" s="6" t="s">
        <v>731</v>
      </c>
      <c r="F160" s="6" t="n">
        <v>1</v>
      </c>
      <c r="G160" s="6"/>
    </row>
    <row r="161" customFormat="false" ht="23.25" hidden="false" customHeight="true" outlineLevel="0" collapsed="false">
      <c r="A161" s="6" t="s">
        <v>990</v>
      </c>
      <c r="B161" s="6" t="s">
        <v>991</v>
      </c>
      <c r="C161" s="6" t="s">
        <v>971</v>
      </c>
      <c r="D161" s="6" t="s">
        <v>927</v>
      </c>
      <c r="E161" s="6" t="s">
        <v>731</v>
      </c>
      <c r="F161" s="6" t="n">
        <v>1</v>
      </c>
      <c r="G161" s="6"/>
    </row>
    <row r="162" customFormat="false" ht="23.25" hidden="false" customHeight="true" outlineLevel="0" collapsed="false">
      <c r="A162" s="6" t="s">
        <v>992</v>
      </c>
      <c r="B162" s="6" t="s">
        <v>993</v>
      </c>
      <c r="C162" s="6" t="s">
        <v>715</v>
      </c>
      <c r="D162" s="6" t="s">
        <v>994</v>
      </c>
      <c r="E162" s="6" t="s">
        <v>652</v>
      </c>
      <c r="F162" s="6" t="n">
        <v>1</v>
      </c>
      <c r="G162" s="6"/>
    </row>
    <row r="163" customFormat="false" ht="23.25" hidden="false" customHeight="true" outlineLevel="0" collapsed="false">
      <c r="A163" s="6" t="s">
        <v>995</v>
      </c>
      <c r="B163" s="6" t="s">
        <v>996</v>
      </c>
      <c r="C163" s="6" t="s">
        <v>715</v>
      </c>
      <c r="D163" s="6" t="s">
        <v>994</v>
      </c>
      <c r="E163" s="6" t="s">
        <v>652</v>
      </c>
      <c r="F163" s="6" t="n">
        <v>1</v>
      </c>
      <c r="G163" s="6"/>
    </row>
    <row r="164" customFormat="false" ht="23.25" hidden="false" customHeight="true" outlineLevel="0" collapsed="false">
      <c r="A164" s="6" t="s">
        <v>997</v>
      </c>
      <c r="B164" s="6" t="s">
        <v>998</v>
      </c>
      <c r="C164" s="6" t="s">
        <v>715</v>
      </c>
      <c r="D164" s="6" t="s">
        <v>994</v>
      </c>
      <c r="E164" s="6" t="s">
        <v>652</v>
      </c>
      <c r="F164" s="6" t="n">
        <v>1</v>
      </c>
      <c r="G164" s="6"/>
    </row>
    <row r="165" customFormat="false" ht="23.25" hidden="false" customHeight="true" outlineLevel="0" collapsed="false">
      <c r="A165" s="6" t="s">
        <v>999</v>
      </c>
      <c r="B165" s="6" t="s">
        <v>1000</v>
      </c>
      <c r="C165" s="6" t="s">
        <v>1001</v>
      </c>
      <c r="D165" s="6" t="s">
        <v>994</v>
      </c>
      <c r="E165" s="6" t="s">
        <v>1002</v>
      </c>
      <c r="F165" s="6" t="n">
        <v>1</v>
      </c>
      <c r="G165" s="6"/>
    </row>
    <row r="166" customFormat="false" ht="23.25" hidden="false" customHeight="true" outlineLevel="0" collapsed="false">
      <c r="A166" s="6" t="s">
        <v>1003</v>
      </c>
      <c r="B166" s="6" t="s">
        <v>1004</v>
      </c>
      <c r="C166" s="6" t="s">
        <v>1001</v>
      </c>
      <c r="D166" s="6" t="s">
        <v>994</v>
      </c>
      <c r="E166" s="6" t="s">
        <v>1002</v>
      </c>
      <c r="F166" s="6" t="n">
        <v>1</v>
      </c>
      <c r="G166" s="6"/>
    </row>
    <row r="167" customFormat="false" ht="15" hidden="false" customHeight="true" outlineLevel="0" collapsed="false">
      <c r="A167" s="6" t="s">
        <v>1005</v>
      </c>
      <c r="B167" s="6" t="s">
        <v>1006</v>
      </c>
      <c r="C167" s="6" t="s">
        <v>1001</v>
      </c>
      <c r="D167" s="6" t="s">
        <v>994</v>
      </c>
      <c r="E167" s="6" t="s">
        <v>1002</v>
      </c>
      <c r="F167" s="6" t="n">
        <v>1</v>
      </c>
      <c r="G167" s="6"/>
    </row>
    <row r="168" customFormat="false" ht="15" hidden="false" customHeight="true" outlineLevel="0" collapsed="false">
      <c r="A168" s="6" t="s">
        <v>1007</v>
      </c>
      <c r="B168" s="6" t="s">
        <v>1008</v>
      </c>
      <c r="C168" s="6" t="s">
        <v>1001</v>
      </c>
      <c r="D168" s="6" t="s">
        <v>994</v>
      </c>
      <c r="E168" s="6" t="s">
        <v>1002</v>
      </c>
      <c r="F168" s="6" t="n">
        <v>1</v>
      </c>
      <c r="G168" s="6"/>
    </row>
    <row r="169" customFormat="false" ht="15" hidden="false" customHeight="true" outlineLevel="0" collapsed="false">
      <c r="A169" s="6" t="s">
        <v>1009</v>
      </c>
      <c r="B169" s="6" t="s">
        <v>1010</v>
      </c>
      <c r="C169" s="6" t="s">
        <v>1001</v>
      </c>
      <c r="D169" s="6" t="s">
        <v>994</v>
      </c>
      <c r="E169" s="6" t="s">
        <v>1002</v>
      </c>
      <c r="F169" s="6" t="n">
        <v>1</v>
      </c>
      <c r="G169" s="6"/>
    </row>
    <row r="170" customFormat="false" ht="23.25" hidden="false" customHeight="true" outlineLevel="0" collapsed="false">
      <c r="A170" s="6" t="s">
        <v>1011</v>
      </c>
      <c r="B170" s="6" t="s">
        <v>1012</v>
      </c>
      <c r="C170" s="6" t="s">
        <v>1001</v>
      </c>
      <c r="D170" s="6" t="s">
        <v>994</v>
      </c>
      <c r="E170" s="6" t="s">
        <v>1002</v>
      </c>
      <c r="F170" s="6" t="n">
        <v>1</v>
      </c>
      <c r="G170" s="6"/>
    </row>
    <row r="171" customFormat="false" ht="15" hidden="false" customHeight="true" outlineLevel="0" collapsed="false">
      <c r="A171" s="6" t="s">
        <v>1013</v>
      </c>
      <c r="B171" s="6" t="s">
        <v>1014</v>
      </c>
      <c r="C171" s="6" t="s">
        <v>1001</v>
      </c>
      <c r="D171" s="6" t="s">
        <v>994</v>
      </c>
      <c r="E171" s="6" t="s">
        <v>1002</v>
      </c>
      <c r="F171" s="6" t="n">
        <v>9</v>
      </c>
      <c r="G171" s="6"/>
    </row>
    <row r="172" customFormat="false" ht="15" hidden="false" customHeight="true" outlineLevel="0" collapsed="false">
      <c r="A172" s="6" t="s">
        <v>1015</v>
      </c>
      <c r="B172" s="6" t="s">
        <v>1016</v>
      </c>
      <c r="C172" s="6" t="s">
        <v>1001</v>
      </c>
      <c r="D172" s="6" t="s">
        <v>994</v>
      </c>
      <c r="E172" s="6" t="s">
        <v>1002</v>
      </c>
      <c r="F172" s="6" t="n">
        <v>4</v>
      </c>
      <c r="G172" s="6"/>
    </row>
    <row r="173" customFormat="false" ht="23.25" hidden="false" customHeight="true" outlineLevel="0" collapsed="false">
      <c r="A173" s="6" t="s">
        <v>1017</v>
      </c>
      <c r="B173" s="6" t="s">
        <v>1018</v>
      </c>
      <c r="C173" s="6" t="s">
        <v>1001</v>
      </c>
      <c r="D173" s="6" t="s">
        <v>994</v>
      </c>
      <c r="E173" s="6" t="s">
        <v>1002</v>
      </c>
      <c r="F173" s="6" t="n">
        <v>1</v>
      </c>
      <c r="G173" s="6"/>
    </row>
    <row r="174" customFormat="false" ht="23.25" hidden="false" customHeight="true" outlineLevel="0" collapsed="false">
      <c r="A174" s="6" t="s">
        <v>1019</v>
      </c>
      <c r="B174" s="6" t="s">
        <v>1020</v>
      </c>
      <c r="C174" s="6" t="s">
        <v>1001</v>
      </c>
      <c r="D174" s="6" t="s">
        <v>994</v>
      </c>
      <c r="E174" s="6" t="s">
        <v>1002</v>
      </c>
      <c r="F174" s="6" t="n">
        <v>1</v>
      </c>
      <c r="G174" s="6"/>
    </row>
    <row r="175" customFormat="false" ht="23.25" hidden="false" customHeight="true" outlineLevel="0" collapsed="false">
      <c r="A175" s="6" t="s">
        <v>1021</v>
      </c>
      <c r="B175" s="6" t="s">
        <v>1022</v>
      </c>
      <c r="C175" s="6" t="s">
        <v>1001</v>
      </c>
      <c r="D175" s="6" t="s">
        <v>994</v>
      </c>
      <c r="E175" s="6" t="s">
        <v>1002</v>
      </c>
      <c r="F175" s="6" t="n">
        <v>1</v>
      </c>
      <c r="G175" s="6"/>
    </row>
    <row r="176" customFormat="false" ht="15" hidden="false" customHeight="true" outlineLevel="0" collapsed="false">
      <c r="A176" s="6" t="s">
        <v>1023</v>
      </c>
      <c r="B176" s="6" t="s">
        <v>1024</v>
      </c>
      <c r="C176" s="6" t="s">
        <v>1001</v>
      </c>
      <c r="D176" s="6" t="s">
        <v>994</v>
      </c>
      <c r="E176" s="6" t="s">
        <v>1002</v>
      </c>
      <c r="F176" s="6" t="n">
        <v>3</v>
      </c>
      <c r="G176" s="6"/>
    </row>
    <row r="177" customFormat="false" ht="15" hidden="false" customHeight="true" outlineLevel="0" collapsed="false">
      <c r="A177" s="6" t="s">
        <v>1025</v>
      </c>
      <c r="B177" s="6" t="s">
        <v>1026</v>
      </c>
      <c r="C177" s="6" t="s">
        <v>1001</v>
      </c>
      <c r="D177" s="6" t="s">
        <v>994</v>
      </c>
      <c r="E177" s="6" t="s">
        <v>1002</v>
      </c>
      <c r="F177" s="6" t="n">
        <v>4</v>
      </c>
      <c r="G177" s="6"/>
    </row>
    <row r="178" customFormat="false" ht="23.25" hidden="false" customHeight="true" outlineLevel="0" collapsed="false">
      <c r="A178" s="6" t="s">
        <v>1027</v>
      </c>
      <c r="B178" s="6" t="s">
        <v>1028</v>
      </c>
      <c r="C178" s="6" t="s">
        <v>1001</v>
      </c>
      <c r="D178" s="6" t="s">
        <v>994</v>
      </c>
      <c r="E178" s="6" t="s">
        <v>1002</v>
      </c>
      <c r="F178" s="6" t="n">
        <v>1</v>
      </c>
      <c r="G178" s="6" t="s">
        <v>1029</v>
      </c>
    </row>
    <row r="179" customFormat="false" ht="23.25" hidden="false" customHeight="true" outlineLevel="0" collapsed="false">
      <c r="A179" s="6" t="s">
        <v>1030</v>
      </c>
      <c r="B179" s="6" t="s">
        <v>1031</v>
      </c>
      <c r="C179" s="6" t="s">
        <v>1001</v>
      </c>
      <c r="D179" s="6" t="s">
        <v>994</v>
      </c>
      <c r="E179" s="6" t="s">
        <v>1002</v>
      </c>
      <c r="F179" s="6" t="n">
        <v>1</v>
      </c>
      <c r="G179" s="6"/>
    </row>
    <row r="180" customFormat="false" ht="15" hidden="false" customHeight="true" outlineLevel="0" collapsed="false">
      <c r="A180" s="6" t="s">
        <v>1032</v>
      </c>
      <c r="B180" s="6" t="s">
        <v>1033</v>
      </c>
      <c r="C180" s="6" t="s">
        <v>1001</v>
      </c>
      <c r="D180" s="6" t="s">
        <v>994</v>
      </c>
      <c r="E180" s="6" t="s">
        <v>1002</v>
      </c>
      <c r="F180" s="6" t="n">
        <v>1</v>
      </c>
      <c r="G180" s="6"/>
    </row>
    <row r="181" customFormat="false" ht="15" hidden="false" customHeight="true" outlineLevel="0" collapsed="false">
      <c r="A181" s="6" t="s">
        <v>1034</v>
      </c>
      <c r="B181" s="6" t="s">
        <v>1035</v>
      </c>
      <c r="C181" s="6" t="s">
        <v>1001</v>
      </c>
      <c r="D181" s="6" t="s">
        <v>994</v>
      </c>
      <c r="E181" s="6" t="s">
        <v>1002</v>
      </c>
      <c r="F181" s="6" t="n">
        <v>3</v>
      </c>
      <c r="G181" s="6"/>
    </row>
    <row r="182" customFormat="false" ht="15" hidden="false" customHeight="true" outlineLevel="0" collapsed="false">
      <c r="A182" s="6" t="s">
        <v>1036</v>
      </c>
      <c r="B182" s="6" t="s">
        <v>1037</v>
      </c>
      <c r="C182" s="6" t="s">
        <v>1001</v>
      </c>
      <c r="D182" s="6" t="s">
        <v>994</v>
      </c>
      <c r="E182" s="6" t="s">
        <v>1002</v>
      </c>
      <c r="F182" s="6" t="n">
        <v>1</v>
      </c>
      <c r="G182" s="6"/>
    </row>
    <row r="183" customFormat="false" ht="15" hidden="false" customHeight="true" outlineLevel="0" collapsed="false">
      <c r="A183" s="6" t="s">
        <v>1038</v>
      </c>
      <c r="B183" s="6" t="s">
        <v>1039</v>
      </c>
      <c r="C183" s="6" t="s">
        <v>1001</v>
      </c>
      <c r="D183" s="6" t="s">
        <v>994</v>
      </c>
      <c r="E183" s="6" t="s">
        <v>1002</v>
      </c>
      <c r="F183" s="6" t="n">
        <v>1</v>
      </c>
      <c r="G183" s="6"/>
    </row>
    <row r="184" customFormat="false" ht="15" hidden="false" customHeight="true" outlineLevel="0" collapsed="false">
      <c r="A184" s="6" t="s">
        <v>1040</v>
      </c>
      <c r="B184" s="6" t="s">
        <v>1041</v>
      </c>
      <c r="C184" s="6" t="s">
        <v>1001</v>
      </c>
      <c r="D184" s="6" t="s">
        <v>994</v>
      </c>
      <c r="E184" s="6" t="s">
        <v>1002</v>
      </c>
      <c r="F184" s="6" t="n">
        <v>1</v>
      </c>
      <c r="G184" s="6"/>
    </row>
    <row r="185" customFormat="false" ht="15" hidden="false" customHeight="true" outlineLevel="0" collapsed="false">
      <c r="A185" s="6" t="s">
        <v>1042</v>
      </c>
      <c r="B185" s="6" t="s">
        <v>1043</v>
      </c>
      <c r="C185" s="6" t="s">
        <v>1001</v>
      </c>
      <c r="D185" s="6" t="s">
        <v>994</v>
      </c>
      <c r="E185" s="6" t="s">
        <v>1002</v>
      </c>
      <c r="F185" s="6" t="n">
        <v>1</v>
      </c>
      <c r="G185" s="6"/>
    </row>
    <row r="186" customFormat="false" ht="15" hidden="false" customHeight="true" outlineLevel="0" collapsed="false">
      <c r="A186" s="6" t="s">
        <v>1044</v>
      </c>
      <c r="B186" s="6" t="s">
        <v>1045</v>
      </c>
      <c r="C186" s="6" t="s">
        <v>1001</v>
      </c>
      <c r="D186" s="6" t="s">
        <v>994</v>
      </c>
      <c r="E186" s="6" t="s">
        <v>1002</v>
      </c>
      <c r="F186" s="6" t="n">
        <v>1</v>
      </c>
      <c r="G186" s="6"/>
    </row>
    <row r="187" customFormat="false" ht="23.25" hidden="false" customHeight="true" outlineLevel="0" collapsed="false">
      <c r="A187" s="6" t="s">
        <v>1046</v>
      </c>
      <c r="B187" s="6" t="s">
        <v>1047</v>
      </c>
      <c r="C187" s="6" t="s">
        <v>1048</v>
      </c>
      <c r="D187" s="6" t="s">
        <v>1049</v>
      </c>
      <c r="E187" s="6" t="s">
        <v>835</v>
      </c>
      <c r="F187" s="6" t="n">
        <v>1</v>
      </c>
      <c r="G187" s="6"/>
    </row>
    <row r="188" customFormat="false" ht="15" hidden="false" customHeight="true" outlineLevel="0" collapsed="false">
      <c r="A188" s="6" t="s">
        <v>1050</v>
      </c>
      <c r="B188" s="6" t="s">
        <v>1051</v>
      </c>
      <c r="C188" s="6" t="s">
        <v>1048</v>
      </c>
      <c r="D188" s="6" t="s">
        <v>1049</v>
      </c>
      <c r="E188" s="6" t="s">
        <v>835</v>
      </c>
      <c r="F188" s="6" t="n">
        <v>1</v>
      </c>
      <c r="G188" s="6"/>
    </row>
    <row r="189" customFormat="false" ht="15" hidden="false" customHeight="true" outlineLevel="0" collapsed="false">
      <c r="A189" s="6" t="s">
        <v>1052</v>
      </c>
      <c r="B189" s="6" t="s">
        <v>1053</v>
      </c>
      <c r="C189" s="6" t="s">
        <v>1048</v>
      </c>
      <c r="D189" s="6" t="s">
        <v>1049</v>
      </c>
      <c r="E189" s="6" t="s">
        <v>835</v>
      </c>
      <c r="F189" s="6" t="n">
        <v>1</v>
      </c>
      <c r="G189" s="6"/>
    </row>
    <row r="190" customFormat="false" ht="15" hidden="false" customHeight="true" outlineLevel="0" collapsed="false">
      <c r="A190" s="6" t="s">
        <v>1054</v>
      </c>
      <c r="B190" s="6" t="s">
        <v>1055</v>
      </c>
      <c r="C190" s="6" t="s">
        <v>1048</v>
      </c>
      <c r="D190" s="6" t="s">
        <v>1049</v>
      </c>
      <c r="E190" s="6" t="s">
        <v>835</v>
      </c>
      <c r="F190" s="6" t="n">
        <v>1</v>
      </c>
      <c r="G190" s="6"/>
    </row>
    <row r="191" customFormat="false" ht="15" hidden="false" customHeight="true" outlineLevel="0" collapsed="false">
      <c r="A191" s="6" t="s">
        <v>1056</v>
      </c>
      <c r="B191" s="6" t="s">
        <v>1057</v>
      </c>
      <c r="C191" s="6" t="s">
        <v>1048</v>
      </c>
      <c r="D191" s="6" t="s">
        <v>1049</v>
      </c>
      <c r="E191" s="6" t="s">
        <v>835</v>
      </c>
      <c r="F191" s="6" t="n">
        <v>1</v>
      </c>
      <c r="G191" s="6"/>
    </row>
    <row r="192" customFormat="false" ht="15" hidden="false" customHeight="true" outlineLevel="0" collapsed="false">
      <c r="A192" s="6" t="s">
        <v>1058</v>
      </c>
      <c r="B192" s="6" t="s">
        <v>1059</v>
      </c>
      <c r="C192" s="6" t="s">
        <v>1048</v>
      </c>
      <c r="D192" s="6" t="s">
        <v>1049</v>
      </c>
      <c r="E192" s="6" t="s">
        <v>835</v>
      </c>
      <c r="F192" s="6" t="n">
        <v>1</v>
      </c>
      <c r="G192" s="6"/>
    </row>
    <row r="193" customFormat="false" ht="15" hidden="false" customHeight="true" outlineLevel="0" collapsed="false">
      <c r="A193" s="6" t="s">
        <v>1060</v>
      </c>
      <c r="B193" s="6" t="s">
        <v>1061</v>
      </c>
      <c r="C193" s="6" t="s">
        <v>1048</v>
      </c>
      <c r="D193" s="6" t="s">
        <v>1049</v>
      </c>
      <c r="E193" s="6" t="s">
        <v>835</v>
      </c>
      <c r="F193" s="6" t="n">
        <v>6</v>
      </c>
      <c r="G193" s="6"/>
    </row>
    <row r="194" customFormat="false" ht="15" hidden="false" customHeight="true" outlineLevel="0" collapsed="false">
      <c r="A194" s="6" t="s">
        <v>1062</v>
      </c>
      <c r="B194" s="6" t="s">
        <v>1063</v>
      </c>
      <c r="C194" s="6" t="s">
        <v>1048</v>
      </c>
      <c r="D194" s="6" t="s">
        <v>1049</v>
      </c>
      <c r="E194" s="6" t="s">
        <v>835</v>
      </c>
      <c r="F194" s="6" t="n">
        <v>9</v>
      </c>
      <c r="G194" s="6"/>
    </row>
    <row r="195" customFormat="false" ht="23.25" hidden="false" customHeight="true" outlineLevel="0" collapsed="false">
      <c r="A195" s="6" t="s">
        <v>1064</v>
      </c>
      <c r="B195" s="6" t="s">
        <v>1065</v>
      </c>
      <c r="C195" s="6" t="s">
        <v>1048</v>
      </c>
      <c r="D195" s="6" t="s">
        <v>1049</v>
      </c>
      <c r="E195" s="6" t="s">
        <v>835</v>
      </c>
      <c r="F195" s="6" t="n">
        <v>1</v>
      </c>
      <c r="G195" s="6" t="s">
        <v>1066</v>
      </c>
    </row>
    <row r="196" customFormat="false" ht="15" hidden="false" customHeight="true" outlineLevel="0" collapsed="false">
      <c r="A196" s="6" t="s">
        <v>1067</v>
      </c>
      <c r="B196" s="6" t="s">
        <v>1068</v>
      </c>
      <c r="C196" s="6" t="s">
        <v>1048</v>
      </c>
      <c r="D196" s="6" t="s">
        <v>1049</v>
      </c>
      <c r="E196" s="6" t="s">
        <v>835</v>
      </c>
      <c r="F196" s="6" t="n">
        <v>5</v>
      </c>
      <c r="G196" s="6"/>
    </row>
    <row r="197" customFormat="false" ht="15" hidden="false" customHeight="true" outlineLevel="0" collapsed="false">
      <c r="A197" s="6" t="s">
        <v>1069</v>
      </c>
      <c r="B197" s="6" t="s">
        <v>1070</v>
      </c>
      <c r="C197" s="6" t="s">
        <v>1048</v>
      </c>
      <c r="D197" s="6" t="s">
        <v>1049</v>
      </c>
      <c r="E197" s="6" t="s">
        <v>835</v>
      </c>
      <c r="F197" s="6" t="n">
        <v>1</v>
      </c>
      <c r="G197" s="6"/>
    </row>
    <row r="198" customFormat="false" ht="15" hidden="false" customHeight="true" outlineLevel="0" collapsed="false">
      <c r="A198" s="6" t="s">
        <v>1071</v>
      </c>
      <c r="B198" s="6" t="s">
        <v>1072</v>
      </c>
      <c r="C198" s="6" t="s">
        <v>1048</v>
      </c>
      <c r="D198" s="6" t="s">
        <v>1049</v>
      </c>
      <c r="E198" s="6" t="s">
        <v>835</v>
      </c>
      <c r="F198" s="6" t="n">
        <v>4</v>
      </c>
      <c r="G198" s="6"/>
    </row>
    <row r="199" customFormat="false" ht="15" hidden="false" customHeight="true" outlineLevel="0" collapsed="false">
      <c r="A199" s="6" t="s">
        <v>1073</v>
      </c>
      <c r="B199" s="6" t="s">
        <v>1074</v>
      </c>
      <c r="C199" s="6" t="s">
        <v>1048</v>
      </c>
      <c r="D199" s="6" t="s">
        <v>1049</v>
      </c>
      <c r="E199" s="6" t="s">
        <v>835</v>
      </c>
      <c r="F199" s="6" t="n">
        <v>4</v>
      </c>
      <c r="G199" s="6"/>
    </row>
    <row r="200" customFormat="false" ht="15" hidden="false" customHeight="true" outlineLevel="0" collapsed="false">
      <c r="A200" s="6" t="s">
        <v>1075</v>
      </c>
      <c r="B200" s="6" t="s">
        <v>1076</v>
      </c>
      <c r="C200" s="6" t="s">
        <v>1048</v>
      </c>
      <c r="D200" s="6" t="s">
        <v>1049</v>
      </c>
      <c r="E200" s="6" t="s">
        <v>835</v>
      </c>
      <c r="F200" s="6" t="n">
        <v>3</v>
      </c>
      <c r="G200" s="6"/>
    </row>
    <row r="201" customFormat="false" ht="15" hidden="false" customHeight="true" outlineLevel="0" collapsed="false">
      <c r="A201" s="6" t="s">
        <v>1077</v>
      </c>
      <c r="B201" s="6" t="s">
        <v>1078</v>
      </c>
      <c r="C201" s="6" t="s">
        <v>1048</v>
      </c>
      <c r="D201" s="6" t="s">
        <v>1049</v>
      </c>
      <c r="E201" s="6" t="s">
        <v>835</v>
      </c>
      <c r="F201" s="6" t="n">
        <v>1</v>
      </c>
      <c r="G201" s="6"/>
    </row>
    <row r="202" customFormat="false" ht="15" hidden="false" customHeight="true" outlineLevel="0" collapsed="false">
      <c r="A202" s="6" t="s">
        <v>1079</v>
      </c>
      <c r="B202" s="6" t="s">
        <v>1080</v>
      </c>
      <c r="C202" s="6" t="s">
        <v>1048</v>
      </c>
      <c r="D202" s="6" t="s">
        <v>1049</v>
      </c>
      <c r="E202" s="6" t="s">
        <v>835</v>
      </c>
      <c r="F202" s="6" t="n">
        <v>3</v>
      </c>
      <c r="G202" s="6"/>
    </row>
    <row r="203" customFormat="false" ht="15" hidden="false" customHeight="true" outlineLevel="0" collapsed="false">
      <c r="A203" s="6" t="s">
        <v>1081</v>
      </c>
      <c r="B203" s="6" t="s">
        <v>1082</v>
      </c>
      <c r="C203" s="6" t="s">
        <v>1048</v>
      </c>
      <c r="D203" s="6" t="s">
        <v>1049</v>
      </c>
      <c r="E203" s="6" t="s">
        <v>835</v>
      </c>
      <c r="F203" s="6" t="n">
        <v>1</v>
      </c>
      <c r="G203" s="6"/>
    </row>
    <row r="204" customFormat="false" ht="15" hidden="false" customHeight="true" outlineLevel="0" collapsed="false">
      <c r="A204" s="6" t="s">
        <v>1083</v>
      </c>
      <c r="B204" s="6" t="s">
        <v>1084</v>
      </c>
      <c r="C204" s="6" t="s">
        <v>1048</v>
      </c>
      <c r="D204" s="6" t="s">
        <v>1049</v>
      </c>
      <c r="E204" s="6" t="s">
        <v>835</v>
      </c>
      <c r="F204" s="6" t="n">
        <v>5</v>
      </c>
      <c r="G204" s="6"/>
    </row>
    <row r="205" customFormat="false" ht="15" hidden="false" customHeight="true" outlineLevel="0" collapsed="false">
      <c r="A205" s="6" t="s">
        <v>1085</v>
      </c>
      <c r="B205" s="6" t="s">
        <v>1086</v>
      </c>
      <c r="C205" s="6" t="s">
        <v>1048</v>
      </c>
      <c r="D205" s="6" t="s">
        <v>1049</v>
      </c>
      <c r="E205" s="6" t="s">
        <v>835</v>
      </c>
      <c r="F205" s="6" t="n">
        <v>4</v>
      </c>
      <c r="G205" s="6"/>
    </row>
    <row r="206" customFormat="false" ht="23.25" hidden="false" customHeight="true" outlineLevel="0" collapsed="false">
      <c r="A206" s="6" t="s">
        <v>1087</v>
      </c>
      <c r="B206" s="6" t="s">
        <v>1088</v>
      </c>
      <c r="C206" s="6" t="s">
        <v>1089</v>
      </c>
      <c r="D206" s="6" t="s">
        <v>1049</v>
      </c>
      <c r="E206" s="6" t="s">
        <v>652</v>
      </c>
      <c r="F206" s="6" t="n">
        <v>1</v>
      </c>
      <c r="G206" s="6"/>
    </row>
    <row r="207" customFormat="false" ht="23.25" hidden="false" customHeight="true" outlineLevel="0" collapsed="false">
      <c r="A207" s="6" t="s">
        <v>1090</v>
      </c>
      <c r="B207" s="6" t="s">
        <v>1091</v>
      </c>
      <c r="C207" s="6" t="s">
        <v>1089</v>
      </c>
      <c r="D207" s="6" t="s">
        <v>1049</v>
      </c>
      <c r="E207" s="6" t="s">
        <v>652</v>
      </c>
      <c r="F207" s="6" t="n">
        <v>1</v>
      </c>
      <c r="G207" s="6"/>
    </row>
    <row r="208" customFormat="false" ht="23.25" hidden="false" customHeight="true" outlineLevel="0" collapsed="false">
      <c r="A208" s="6" t="s">
        <v>1092</v>
      </c>
      <c r="B208" s="6" t="s">
        <v>1093</v>
      </c>
      <c r="C208" s="6" t="s">
        <v>1089</v>
      </c>
      <c r="D208" s="6" t="s">
        <v>1049</v>
      </c>
      <c r="E208" s="6" t="s">
        <v>652</v>
      </c>
      <c r="F208" s="6" t="n">
        <v>1</v>
      </c>
      <c r="G208" s="6"/>
    </row>
    <row r="209" customFormat="false" ht="23.25" hidden="false" customHeight="true" outlineLevel="0" collapsed="false">
      <c r="A209" s="6" t="s">
        <v>1094</v>
      </c>
      <c r="B209" s="6" t="s">
        <v>1095</v>
      </c>
      <c r="C209" s="6" t="s">
        <v>1089</v>
      </c>
      <c r="D209" s="6" t="s">
        <v>1049</v>
      </c>
      <c r="E209" s="6" t="s">
        <v>652</v>
      </c>
      <c r="F209" s="6" t="n">
        <v>1</v>
      </c>
      <c r="G209" s="6"/>
    </row>
    <row r="210" customFormat="false" ht="23.25" hidden="false" customHeight="true" outlineLevel="0" collapsed="false">
      <c r="A210" s="6" t="s">
        <v>1096</v>
      </c>
      <c r="B210" s="6" t="s">
        <v>1097</v>
      </c>
      <c r="C210" s="6" t="s">
        <v>1089</v>
      </c>
      <c r="D210" s="6" t="s">
        <v>1049</v>
      </c>
      <c r="E210" s="6" t="s">
        <v>652</v>
      </c>
      <c r="F210" s="6" t="n">
        <v>1</v>
      </c>
      <c r="G210" s="6"/>
    </row>
    <row r="211" customFormat="false" ht="23.25" hidden="false" customHeight="true" outlineLevel="0" collapsed="false">
      <c r="A211" s="6" t="s">
        <v>1098</v>
      </c>
      <c r="B211" s="6" t="s">
        <v>1099</v>
      </c>
      <c r="C211" s="6" t="s">
        <v>1089</v>
      </c>
      <c r="D211" s="6" t="s">
        <v>1049</v>
      </c>
      <c r="E211" s="6" t="s">
        <v>652</v>
      </c>
      <c r="F211" s="6" t="n">
        <v>1</v>
      </c>
      <c r="G211" s="6"/>
    </row>
    <row r="212" customFormat="false" ht="23.25" hidden="false" customHeight="true" outlineLevel="0" collapsed="false">
      <c r="A212" s="6" t="s">
        <v>1100</v>
      </c>
      <c r="B212" s="6" t="s">
        <v>1101</v>
      </c>
      <c r="C212" s="6" t="s">
        <v>1089</v>
      </c>
      <c r="D212" s="6" t="s">
        <v>1049</v>
      </c>
      <c r="E212" s="6" t="s">
        <v>652</v>
      </c>
      <c r="F212" s="6" t="n">
        <v>15</v>
      </c>
      <c r="G212" s="6"/>
    </row>
    <row r="213" customFormat="false" ht="23.25" hidden="false" customHeight="true" outlineLevel="0" collapsed="false">
      <c r="A213" s="6" t="s">
        <v>1102</v>
      </c>
      <c r="B213" s="6" t="s">
        <v>1103</v>
      </c>
      <c r="C213" s="6" t="s">
        <v>1089</v>
      </c>
      <c r="D213" s="6" t="s">
        <v>1049</v>
      </c>
      <c r="E213" s="6" t="s">
        <v>652</v>
      </c>
      <c r="F213" s="6" t="n">
        <v>1</v>
      </c>
      <c r="G213" s="6"/>
    </row>
    <row r="214" customFormat="false" ht="23.25" hidden="false" customHeight="true" outlineLevel="0" collapsed="false">
      <c r="A214" s="6" t="s">
        <v>1104</v>
      </c>
      <c r="B214" s="6" t="s">
        <v>1105</v>
      </c>
      <c r="C214" s="6" t="s">
        <v>1089</v>
      </c>
      <c r="D214" s="6" t="s">
        <v>1049</v>
      </c>
      <c r="E214" s="6" t="s">
        <v>652</v>
      </c>
      <c r="F214" s="6" t="n">
        <v>1</v>
      </c>
      <c r="G214" s="6"/>
    </row>
    <row r="215" customFormat="false" ht="23.25" hidden="false" customHeight="true" outlineLevel="0" collapsed="false">
      <c r="A215" s="6" t="s">
        <v>1106</v>
      </c>
      <c r="B215" s="6" t="s">
        <v>1107</v>
      </c>
      <c r="C215" s="6" t="s">
        <v>1089</v>
      </c>
      <c r="D215" s="6" t="s">
        <v>1049</v>
      </c>
      <c r="E215" s="6" t="s">
        <v>652</v>
      </c>
      <c r="F215" s="6" t="n">
        <v>1</v>
      </c>
      <c r="G215" s="6"/>
    </row>
    <row r="216" customFormat="false" ht="23.25" hidden="false" customHeight="true" outlineLevel="0" collapsed="false">
      <c r="A216" s="6" t="s">
        <v>1108</v>
      </c>
      <c r="B216" s="6" t="s">
        <v>1109</v>
      </c>
      <c r="C216" s="6" t="s">
        <v>1089</v>
      </c>
      <c r="D216" s="6" t="s">
        <v>1049</v>
      </c>
      <c r="E216" s="6" t="s">
        <v>652</v>
      </c>
      <c r="F216" s="6" t="n">
        <v>4</v>
      </c>
      <c r="G216" s="6"/>
    </row>
    <row r="217" customFormat="false" ht="23.25" hidden="false" customHeight="true" outlineLevel="0" collapsed="false">
      <c r="A217" s="6" t="s">
        <v>1110</v>
      </c>
      <c r="B217" s="6" t="s">
        <v>1111</v>
      </c>
      <c r="C217" s="6" t="s">
        <v>1089</v>
      </c>
      <c r="D217" s="6" t="s">
        <v>1049</v>
      </c>
      <c r="E217" s="6" t="s">
        <v>652</v>
      </c>
      <c r="F217" s="6" t="n">
        <v>11</v>
      </c>
      <c r="G217" s="6"/>
    </row>
    <row r="218" customFormat="false" ht="23.25" hidden="false" customHeight="true" outlineLevel="0" collapsed="false">
      <c r="A218" s="6" t="s">
        <v>1112</v>
      </c>
      <c r="B218" s="6" t="s">
        <v>1113</v>
      </c>
      <c r="C218" s="6" t="s">
        <v>1089</v>
      </c>
      <c r="D218" s="6" t="s">
        <v>1049</v>
      </c>
      <c r="E218" s="6" t="s">
        <v>652</v>
      </c>
      <c r="F218" s="6" t="n">
        <v>1</v>
      </c>
      <c r="G218" s="6"/>
    </row>
    <row r="219" customFormat="false" ht="23.25" hidden="false" customHeight="true" outlineLevel="0" collapsed="false">
      <c r="A219" s="6" t="s">
        <v>1114</v>
      </c>
      <c r="B219" s="6" t="s">
        <v>1115</v>
      </c>
      <c r="C219" s="6" t="s">
        <v>1089</v>
      </c>
      <c r="D219" s="6" t="s">
        <v>1049</v>
      </c>
      <c r="E219" s="6" t="s">
        <v>652</v>
      </c>
      <c r="F219" s="6" t="n">
        <v>1</v>
      </c>
      <c r="G219" s="6"/>
    </row>
    <row r="220" customFormat="false" ht="23.25" hidden="false" customHeight="true" outlineLevel="0" collapsed="false">
      <c r="A220" s="6" t="s">
        <v>1116</v>
      </c>
      <c r="B220" s="6" t="s">
        <v>1117</v>
      </c>
      <c r="C220" s="6" t="s">
        <v>1089</v>
      </c>
      <c r="D220" s="6" t="s">
        <v>1049</v>
      </c>
      <c r="E220" s="6" t="s">
        <v>652</v>
      </c>
      <c r="F220" s="6" t="n">
        <v>1</v>
      </c>
      <c r="G220" s="6" t="s">
        <v>830</v>
      </c>
    </row>
    <row r="221" customFormat="false" ht="23.25" hidden="false" customHeight="true" outlineLevel="0" collapsed="false">
      <c r="A221" s="6" t="s">
        <v>1118</v>
      </c>
      <c r="B221" s="6" t="s">
        <v>1119</v>
      </c>
      <c r="C221" s="6" t="s">
        <v>1089</v>
      </c>
      <c r="D221" s="6" t="s">
        <v>1049</v>
      </c>
      <c r="E221" s="6" t="s">
        <v>652</v>
      </c>
      <c r="F221" s="6" t="n">
        <v>1</v>
      </c>
      <c r="G221" s="6"/>
    </row>
    <row r="222" customFormat="false" ht="23.25" hidden="false" customHeight="true" outlineLevel="0" collapsed="false">
      <c r="A222" s="6" t="s">
        <v>1120</v>
      </c>
      <c r="B222" s="6" t="s">
        <v>1121</v>
      </c>
      <c r="C222" s="6" t="s">
        <v>1089</v>
      </c>
      <c r="D222" s="6" t="s">
        <v>1049</v>
      </c>
      <c r="E222" s="6" t="s">
        <v>652</v>
      </c>
      <c r="F222" s="6" t="n">
        <v>1</v>
      </c>
      <c r="G222" s="6" t="s">
        <v>1122</v>
      </c>
    </row>
    <row r="223" customFormat="false" ht="23.25" hidden="false" customHeight="true" outlineLevel="0" collapsed="false">
      <c r="A223" s="6" t="s">
        <v>1123</v>
      </c>
      <c r="B223" s="6" t="s">
        <v>1124</v>
      </c>
      <c r="C223" s="6" t="s">
        <v>1089</v>
      </c>
      <c r="D223" s="6" t="s">
        <v>1049</v>
      </c>
      <c r="E223" s="6" t="s">
        <v>652</v>
      </c>
      <c r="F223" s="6" t="n">
        <v>1</v>
      </c>
      <c r="G223" s="6" t="s">
        <v>1122</v>
      </c>
    </row>
    <row r="224" customFormat="false" ht="23.25" hidden="false" customHeight="true" outlineLevel="0" collapsed="false">
      <c r="A224" s="6" t="s">
        <v>1125</v>
      </c>
      <c r="B224" s="6" t="s">
        <v>1126</v>
      </c>
      <c r="C224" s="6" t="s">
        <v>1089</v>
      </c>
      <c r="D224" s="6" t="s">
        <v>1049</v>
      </c>
      <c r="E224" s="6" t="s">
        <v>652</v>
      </c>
      <c r="F224" s="6" t="n">
        <v>1</v>
      </c>
      <c r="G224" s="6"/>
    </row>
    <row r="225" customFormat="false" ht="23.25" hidden="false" customHeight="true" outlineLevel="0" collapsed="false">
      <c r="A225" s="6" t="s">
        <v>1127</v>
      </c>
      <c r="B225" s="6" t="s">
        <v>1128</v>
      </c>
      <c r="C225" s="6" t="s">
        <v>1089</v>
      </c>
      <c r="D225" s="6" t="s">
        <v>1049</v>
      </c>
      <c r="E225" s="6" t="s">
        <v>652</v>
      </c>
      <c r="F225" s="6" t="n">
        <v>1</v>
      </c>
      <c r="G225" s="6"/>
    </row>
    <row r="226" customFormat="false" ht="23.25" hidden="false" customHeight="true" outlineLevel="0" collapsed="false">
      <c r="A226" s="6" t="s">
        <v>1129</v>
      </c>
      <c r="B226" s="6" t="s">
        <v>1130</v>
      </c>
      <c r="C226" s="6" t="s">
        <v>1089</v>
      </c>
      <c r="D226" s="6" t="s">
        <v>1049</v>
      </c>
      <c r="E226" s="6" t="s">
        <v>652</v>
      </c>
      <c r="F226" s="6" t="n">
        <v>1</v>
      </c>
      <c r="G226" s="6"/>
    </row>
    <row r="227" customFormat="false" ht="23.25" hidden="false" customHeight="true" outlineLevel="0" collapsed="false">
      <c r="A227" s="6" t="s">
        <v>1131</v>
      </c>
      <c r="B227" s="6" t="s">
        <v>1132</v>
      </c>
      <c r="C227" s="6" t="s">
        <v>1089</v>
      </c>
      <c r="D227" s="6" t="s">
        <v>1049</v>
      </c>
      <c r="E227" s="6" t="s">
        <v>652</v>
      </c>
      <c r="F227" s="6" t="n">
        <v>1</v>
      </c>
      <c r="G227" s="6"/>
    </row>
    <row r="228" customFormat="false" ht="23.25" hidden="false" customHeight="true" outlineLevel="0" collapsed="false">
      <c r="A228" s="6" t="s">
        <v>1133</v>
      </c>
      <c r="B228" s="6" t="s">
        <v>1134</v>
      </c>
      <c r="C228" s="6" t="s">
        <v>1089</v>
      </c>
      <c r="D228" s="6" t="s">
        <v>1049</v>
      </c>
      <c r="E228" s="6" t="s">
        <v>652</v>
      </c>
      <c r="F228" s="6" t="n">
        <v>1</v>
      </c>
      <c r="G228" s="6"/>
    </row>
    <row r="229" customFormat="false" ht="23.25" hidden="false" customHeight="true" outlineLevel="0" collapsed="false">
      <c r="A229" s="6" t="s">
        <v>1135</v>
      </c>
      <c r="B229" s="6" t="s">
        <v>1136</v>
      </c>
      <c r="C229" s="6" t="s">
        <v>1089</v>
      </c>
      <c r="D229" s="6" t="s">
        <v>1049</v>
      </c>
      <c r="E229" s="6" t="s">
        <v>652</v>
      </c>
      <c r="F229" s="6" t="n">
        <v>5</v>
      </c>
      <c r="G229" s="6"/>
    </row>
    <row r="230" customFormat="false" ht="23.25" hidden="false" customHeight="true" outlineLevel="0" collapsed="false">
      <c r="A230" s="6" t="s">
        <v>1137</v>
      </c>
      <c r="B230" s="6" t="s">
        <v>1138</v>
      </c>
      <c r="C230" s="6" t="s">
        <v>1089</v>
      </c>
      <c r="D230" s="6" t="s">
        <v>1049</v>
      </c>
      <c r="E230" s="6" t="s">
        <v>652</v>
      </c>
      <c r="F230" s="6" t="n">
        <v>1</v>
      </c>
      <c r="G230" s="6"/>
    </row>
    <row r="231" customFormat="false" ht="23.25" hidden="false" customHeight="true" outlineLevel="0" collapsed="false">
      <c r="A231" s="6" t="s">
        <v>1139</v>
      </c>
      <c r="B231" s="6" t="s">
        <v>1140</v>
      </c>
      <c r="C231" s="6" t="s">
        <v>1141</v>
      </c>
      <c r="D231" s="6" t="s">
        <v>1142</v>
      </c>
      <c r="E231" s="6" t="s">
        <v>835</v>
      </c>
      <c r="F231" s="6" t="n">
        <v>12</v>
      </c>
      <c r="G231" s="6"/>
    </row>
    <row r="232" customFormat="false" ht="23.25" hidden="false" customHeight="true" outlineLevel="0" collapsed="false">
      <c r="A232" s="6" t="s">
        <v>1143</v>
      </c>
      <c r="B232" s="6" t="s">
        <v>1144</v>
      </c>
      <c r="C232" s="6" t="s">
        <v>1141</v>
      </c>
      <c r="D232" s="6" t="s">
        <v>1142</v>
      </c>
      <c r="E232" s="6" t="s">
        <v>835</v>
      </c>
      <c r="F232" s="6" t="n">
        <v>1</v>
      </c>
      <c r="G232" s="6"/>
    </row>
    <row r="233" customFormat="false" ht="15" hidden="false" customHeight="true" outlineLevel="0" collapsed="false">
      <c r="A233" s="6" t="s">
        <v>1145</v>
      </c>
      <c r="B233" s="6" t="s">
        <v>1146</v>
      </c>
      <c r="C233" s="6" t="s">
        <v>1141</v>
      </c>
      <c r="D233" s="6" t="s">
        <v>1142</v>
      </c>
      <c r="E233" s="6" t="s">
        <v>835</v>
      </c>
      <c r="F233" s="6" t="n">
        <v>1</v>
      </c>
      <c r="G233" s="6"/>
    </row>
    <row r="234" customFormat="false" ht="15" hidden="false" customHeight="true" outlineLevel="0" collapsed="false">
      <c r="A234" s="6" t="s">
        <v>1147</v>
      </c>
      <c r="B234" s="6" t="s">
        <v>1148</v>
      </c>
      <c r="C234" s="6" t="s">
        <v>1141</v>
      </c>
      <c r="D234" s="6" t="s">
        <v>1142</v>
      </c>
      <c r="E234" s="6" t="s">
        <v>835</v>
      </c>
      <c r="F234" s="6" t="n">
        <v>1</v>
      </c>
      <c r="G234" s="6"/>
    </row>
    <row r="235" customFormat="false" ht="15" hidden="false" customHeight="true" outlineLevel="0" collapsed="false">
      <c r="A235" s="6" t="s">
        <v>1149</v>
      </c>
      <c r="B235" s="6" t="s">
        <v>1150</v>
      </c>
      <c r="C235" s="6" t="s">
        <v>1141</v>
      </c>
      <c r="D235" s="6" t="s">
        <v>1142</v>
      </c>
      <c r="E235" s="6" t="s">
        <v>835</v>
      </c>
      <c r="F235" s="6" t="n">
        <v>1</v>
      </c>
      <c r="G235" s="6"/>
    </row>
    <row r="236" customFormat="false" ht="15" hidden="false" customHeight="true" outlineLevel="0" collapsed="false">
      <c r="A236" s="6" t="s">
        <v>1151</v>
      </c>
      <c r="B236" s="6" t="s">
        <v>1152</v>
      </c>
      <c r="C236" s="6" t="s">
        <v>1141</v>
      </c>
      <c r="D236" s="6" t="s">
        <v>1142</v>
      </c>
      <c r="E236" s="6" t="s">
        <v>835</v>
      </c>
      <c r="F236" s="6" t="n">
        <v>1</v>
      </c>
      <c r="G236" s="6"/>
    </row>
    <row r="237" customFormat="false" ht="15" hidden="false" customHeight="true" outlineLevel="0" collapsed="false">
      <c r="A237" s="6" t="s">
        <v>1153</v>
      </c>
      <c r="B237" s="6" t="s">
        <v>1154</v>
      </c>
      <c r="C237" s="6" t="s">
        <v>1141</v>
      </c>
      <c r="D237" s="6" t="s">
        <v>1142</v>
      </c>
      <c r="E237" s="6" t="s">
        <v>835</v>
      </c>
      <c r="F237" s="6" t="n">
        <v>8</v>
      </c>
      <c r="G237" s="6"/>
    </row>
    <row r="238" customFormat="false" ht="15" hidden="false" customHeight="true" outlineLevel="0" collapsed="false">
      <c r="A238" s="6" t="s">
        <v>1155</v>
      </c>
      <c r="B238" s="6" t="s">
        <v>1156</v>
      </c>
      <c r="C238" s="6" t="s">
        <v>1141</v>
      </c>
      <c r="D238" s="6" t="s">
        <v>1142</v>
      </c>
      <c r="E238" s="6" t="s">
        <v>835</v>
      </c>
      <c r="F238" s="6" t="n">
        <v>5</v>
      </c>
      <c r="G238" s="6"/>
    </row>
    <row r="239" customFormat="false" ht="23.25" hidden="false" customHeight="true" outlineLevel="0" collapsed="false">
      <c r="A239" s="6" t="s">
        <v>1157</v>
      </c>
      <c r="B239" s="6" t="s">
        <v>1158</v>
      </c>
      <c r="C239" s="6" t="s">
        <v>1141</v>
      </c>
      <c r="D239" s="6" t="s">
        <v>1142</v>
      </c>
      <c r="E239" s="6" t="s">
        <v>835</v>
      </c>
      <c r="F239" s="6" t="n">
        <v>1</v>
      </c>
      <c r="G239" s="6"/>
    </row>
    <row r="240" customFormat="false" ht="15" hidden="false" customHeight="true" outlineLevel="0" collapsed="false">
      <c r="A240" s="6" t="s">
        <v>1159</v>
      </c>
      <c r="B240" s="6" t="s">
        <v>1160</v>
      </c>
      <c r="C240" s="6" t="s">
        <v>1141</v>
      </c>
      <c r="D240" s="6" t="s">
        <v>1142</v>
      </c>
      <c r="E240" s="6" t="s">
        <v>835</v>
      </c>
      <c r="F240" s="6" t="n">
        <v>1</v>
      </c>
      <c r="G240" s="6"/>
    </row>
    <row r="241" customFormat="false" ht="15" hidden="false" customHeight="true" outlineLevel="0" collapsed="false">
      <c r="A241" s="6" t="s">
        <v>1161</v>
      </c>
      <c r="B241" s="6" t="s">
        <v>1162</v>
      </c>
      <c r="C241" s="6" t="s">
        <v>1163</v>
      </c>
      <c r="D241" s="6" t="s">
        <v>1142</v>
      </c>
      <c r="E241" s="6" t="s">
        <v>835</v>
      </c>
      <c r="F241" s="6" t="n">
        <v>4</v>
      </c>
      <c r="G241" s="6"/>
    </row>
    <row r="242" customFormat="false" ht="15" hidden="false" customHeight="true" outlineLevel="0" collapsed="false">
      <c r="A242" s="6" t="s">
        <v>1164</v>
      </c>
      <c r="B242" s="6" t="s">
        <v>1165</v>
      </c>
      <c r="C242" s="6" t="s">
        <v>1163</v>
      </c>
      <c r="D242" s="6" t="s">
        <v>1142</v>
      </c>
      <c r="E242" s="6" t="s">
        <v>835</v>
      </c>
      <c r="F242" s="6" t="n">
        <v>7</v>
      </c>
      <c r="G242" s="6"/>
    </row>
    <row r="243" customFormat="false" ht="15" hidden="false" customHeight="true" outlineLevel="0" collapsed="false">
      <c r="A243" s="6" t="s">
        <v>1166</v>
      </c>
      <c r="B243" s="6" t="s">
        <v>1167</v>
      </c>
      <c r="C243" s="6" t="s">
        <v>1163</v>
      </c>
      <c r="D243" s="6" t="s">
        <v>1142</v>
      </c>
      <c r="E243" s="6" t="s">
        <v>835</v>
      </c>
      <c r="F243" s="6" t="n">
        <v>12</v>
      </c>
      <c r="G243" s="6"/>
    </row>
    <row r="244" customFormat="false" ht="15" hidden="false" customHeight="true" outlineLevel="0" collapsed="false">
      <c r="A244" s="6" t="s">
        <v>1168</v>
      </c>
      <c r="B244" s="6" t="s">
        <v>1169</v>
      </c>
      <c r="C244" s="6" t="s">
        <v>1163</v>
      </c>
      <c r="D244" s="6" t="s">
        <v>1142</v>
      </c>
      <c r="E244" s="6" t="s">
        <v>835</v>
      </c>
      <c r="F244" s="6" t="n">
        <v>1</v>
      </c>
      <c r="G244" s="6"/>
    </row>
    <row r="245" customFormat="false" ht="15" hidden="false" customHeight="true" outlineLevel="0" collapsed="false">
      <c r="A245" s="6" t="s">
        <v>1170</v>
      </c>
      <c r="B245" s="6" t="s">
        <v>1171</v>
      </c>
      <c r="C245" s="6" t="s">
        <v>1163</v>
      </c>
      <c r="D245" s="6" t="s">
        <v>1142</v>
      </c>
      <c r="E245" s="6" t="s">
        <v>835</v>
      </c>
      <c r="F245" s="6" t="n">
        <v>5</v>
      </c>
      <c r="G245" s="6"/>
    </row>
    <row r="246" customFormat="false" ht="15" hidden="false" customHeight="true" outlineLevel="0" collapsed="false">
      <c r="A246" s="6" t="s">
        <v>1172</v>
      </c>
      <c r="B246" s="6" t="s">
        <v>1173</v>
      </c>
      <c r="C246" s="6" t="s">
        <v>1163</v>
      </c>
      <c r="D246" s="6" t="s">
        <v>1142</v>
      </c>
      <c r="E246" s="6" t="s">
        <v>835</v>
      </c>
      <c r="F246" s="6" t="n">
        <v>1</v>
      </c>
      <c r="G246" s="6"/>
    </row>
    <row r="247" customFormat="false" ht="15" hidden="false" customHeight="true" outlineLevel="0" collapsed="false">
      <c r="A247" s="6" t="s">
        <v>1174</v>
      </c>
      <c r="B247" s="6" t="s">
        <v>1175</v>
      </c>
      <c r="C247" s="6" t="s">
        <v>1163</v>
      </c>
      <c r="D247" s="6" t="s">
        <v>1142</v>
      </c>
      <c r="E247" s="6" t="s">
        <v>835</v>
      </c>
      <c r="F247" s="6" t="n">
        <v>2</v>
      </c>
      <c r="G247" s="6"/>
    </row>
    <row r="248" customFormat="false" ht="15" hidden="false" customHeight="true" outlineLevel="0" collapsed="false">
      <c r="A248" s="6" t="s">
        <v>1176</v>
      </c>
      <c r="B248" s="6" t="s">
        <v>1177</v>
      </c>
      <c r="C248" s="6" t="s">
        <v>1163</v>
      </c>
      <c r="D248" s="6" t="s">
        <v>1142</v>
      </c>
      <c r="E248" s="6" t="s">
        <v>835</v>
      </c>
      <c r="F248" s="6" t="n">
        <v>8</v>
      </c>
      <c r="G248" s="6"/>
    </row>
    <row r="249" customFormat="false" ht="15" hidden="false" customHeight="true" outlineLevel="0" collapsed="false">
      <c r="A249" s="6" t="s">
        <v>1178</v>
      </c>
      <c r="B249" s="6" t="s">
        <v>1179</v>
      </c>
      <c r="C249" s="6" t="s">
        <v>1163</v>
      </c>
      <c r="D249" s="6" t="s">
        <v>1142</v>
      </c>
      <c r="E249" s="6" t="s">
        <v>835</v>
      </c>
      <c r="F249" s="6" t="n">
        <v>4</v>
      </c>
      <c r="G249" s="6"/>
    </row>
    <row r="250" customFormat="false" ht="15" hidden="false" customHeight="true" outlineLevel="0" collapsed="false">
      <c r="A250" s="6" t="s">
        <v>1180</v>
      </c>
      <c r="B250" s="6" t="s">
        <v>1181</v>
      </c>
      <c r="C250" s="6" t="s">
        <v>1163</v>
      </c>
      <c r="D250" s="6" t="s">
        <v>1142</v>
      </c>
      <c r="E250" s="6" t="s">
        <v>835</v>
      </c>
      <c r="F250" s="6" t="n">
        <v>6</v>
      </c>
      <c r="G250" s="6"/>
    </row>
    <row r="251" customFormat="false" ht="15" hidden="false" customHeight="true" outlineLevel="0" collapsed="false">
      <c r="A251" s="6" t="s">
        <v>1182</v>
      </c>
      <c r="B251" s="6" t="s">
        <v>1183</v>
      </c>
      <c r="C251" s="6" t="s">
        <v>1163</v>
      </c>
      <c r="D251" s="6" t="s">
        <v>1142</v>
      </c>
      <c r="E251" s="6" t="s">
        <v>835</v>
      </c>
      <c r="F251" s="6" t="n">
        <v>1</v>
      </c>
      <c r="G251" s="6"/>
    </row>
    <row r="252" customFormat="false" ht="15" hidden="false" customHeight="true" outlineLevel="0" collapsed="false">
      <c r="A252" s="6" t="s">
        <v>1184</v>
      </c>
      <c r="B252" s="6" t="s">
        <v>1185</v>
      </c>
      <c r="C252" s="6" t="s">
        <v>1163</v>
      </c>
      <c r="D252" s="6" t="s">
        <v>1142</v>
      </c>
      <c r="E252" s="6" t="s">
        <v>835</v>
      </c>
      <c r="F252" s="6" t="n">
        <v>1</v>
      </c>
      <c r="G252" s="6"/>
    </row>
    <row r="253" customFormat="false" ht="23.25" hidden="false" customHeight="true" outlineLevel="0" collapsed="false">
      <c r="A253" s="6" t="s">
        <v>1186</v>
      </c>
      <c r="B253" s="6" t="s">
        <v>1187</v>
      </c>
      <c r="C253" s="6" t="s">
        <v>1163</v>
      </c>
      <c r="D253" s="6" t="s">
        <v>1142</v>
      </c>
      <c r="E253" s="6" t="s">
        <v>835</v>
      </c>
      <c r="F253" s="6" t="n">
        <v>1</v>
      </c>
      <c r="G253" s="6"/>
    </row>
    <row r="254" customFormat="false" ht="15" hidden="false" customHeight="true" outlineLevel="0" collapsed="false">
      <c r="A254" s="6" t="s">
        <v>1188</v>
      </c>
      <c r="B254" s="6" t="s">
        <v>1189</v>
      </c>
      <c r="C254" s="6" t="s">
        <v>1163</v>
      </c>
      <c r="D254" s="6" t="s">
        <v>1142</v>
      </c>
      <c r="E254" s="6" t="s">
        <v>835</v>
      </c>
      <c r="F254" s="6" t="n">
        <v>1</v>
      </c>
      <c r="G254" s="6"/>
    </row>
    <row r="255" customFormat="false" ht="15" hidden="false" customHeight="true" outlineLevel="0" collapsed="false">
      <c r="A255" s="6" t="s">
        <v>1190</v>
      </c>
      <c r="B255" s="6" t="s">
        <v>1191</v>
      </c>
      <c r="C255" s="6" t="s">
        <v>1163</v>
      </c>
      <c r="D255" s="6" t="s">
        <v>1142</v>
      </c>
      <c r="E255" s="6" t="s">
        <v>835</v>
      </c>
      <c r="F255" s="6" t="n">
        <v>1</v>
      </c>
      <c r="G255" s="6"/>
    </row>
    <row r="256" customFormat="false" ht="15" hidden="false" customHeight="true" outlineLevel="0" collapsed="false">
      <c r="A256" s="6" t="s">
        <v>1192</v>
      </c>
      <c r="B256" s="6" t="s">
        <v>1193</v>
      </c>
      <c r="C256" s="6" t="s">
        <v>1163</v>
      </c>
      <c r="D256" s="6" t="s">
        <v>1142</v>
      </c>
      <c r="E256" s="6" t="s">
        <v>835</v>
      </c>
      <c r="F256" s="6" t="n">
        <v>1</v>
      </c>
      <c r="G256" s="6"/>
    </row>
    <row r="257" customFormat="false" ht="15" hidden="false" customHeight="true" outlineLevel="0" collapsed="false">
      <c r="A257" s="6" t="s">
        <v>1194</v>
      </c>
      <c r="B257" s="6" t="s">
        <v>1195</v>
      </c>
      <c r="C257" s="6" t="s">
        <v>1163</v>
      </c>
      <c r="D257" s="6" t="s">
        <v>1142</v>
      </c>
      <c r="E257" s="6" t="s">
        <v>835</v>
      </c>
      <c r="F257" s="6" t="n">
        <v>1</v>
      </c>
      <c r="G257" s="6"/>
    </row>
    <row r="258" customFormat="false" ht="15" hidden="false" customHeight="true" outlineLevel="0" collapsed="false">
      <c r="A258" s="6" t="s">
        <v>1196</v>
      </c>
      <c r="B258" s="6" t="s">
        <v>1197</v>
      </c>
      <c r="C258" s="6" t="s">
        <v>1163</v>
      </c>
      <c r="D258" s="6" t="s">
        <v>1142</v>
      </c>
      <c r="E258" s="6" t="s">
        <v>835</v>
      </c>
      <c r="F258" s="6" t="n">
        <v>4</v>
      </c>
      <c r="G258" s="6"/>
    </row>
    <row r="259" customFormat="false" ht="15" hidden="false" customHeight="true" outlineLevel="0" collapsed="false">
      <c r="A259" s="6" t="s">
        <v>1198</v>
      </c>
      <c r="B259" s="6" t="s">
        <v>1199</v>
      </c>
      <c r="C259" s="6" t="s">
        <v>1163</v>
      </c>
      <c r="D259" s="6" t="s">
        <v>1142</v>
      </c>
      <c r="E259" s="6" t="s">
        <v>835</v>
      </c>
      <c r="F259" s="6" t="n">
        <v>1</v>
      </c>
      <c r="G259" s="6"/>
    </row>
    <row r="260" customFormat="false" ht="23.25" hidden="false" customHeight="true" outlineLevel="0" collapsed="false">
      <c r="A260" s="6" t="s">
        <v>1200</v>
      </c>
      <c r="B260" s="6" t="s">
        <v>1201</v>
      </c>
      <c r="C260" s="6" t="s">
        <v>1163</v>
      </c>
      <c r="D260" s="6" t="s">
        <v>1142</v>
      </c>
      <c r="E260" s="6" t="s">
        <v>835</v>
      </c>
      <c r="F260" s="6" t="n">
        <v>1</v>
      </c>
      <c r="G260" s="6"/>
    </row>
    <row r="261" customFormat="false" ht="15" hidden="false" customHeight="true" outlineLevel="0" collapsed="false">
      <c r="A261" s="6" t="s">
        <v>1202</v>
      </c>
      <c r="B261" s="6" t="s">
        <v>1203</v>
      </c>
      <c r="C261" s="6" t="s">
        <v>1163</v>
      </c>
      <c r="D261" s="6" t="s">
        <v>1142</v>
      </c>
      <c r="E261" s="6" t="s">
        <v>835</v>
      </c>
      <c r="F261" s="6" t="n">
        <v>1</v>
      </c>
      <c r="G261" s="6"/>
    </row>
    <row r="262" customFormat="false" ht="15" hidden="false" customHeight="true" outlineLevel="0" collapsed="false">
      <c r="A262" s="6" t="s">
        <v>1204</v>
      </c>
      <c r="B262" s="6" t="s">
        <v>1205</v>
      </c>
      <c r="C262" s="6" t="s">
        <v>1163</v>
      </c>
      <c r="D262" s="6" t="s">
        <v>1142</v>
      </c>
      <c r="E262" s="6" t="s">
        <v>835</v>
      </c>
      <c r="F262" s="6" t="n">
        <v>1</v>
      </c>
      <c r="G262" s="6"/>
    </row>
    <row r="263" customFormat="false" ht="23.25" hidden="false" customHeight="true" outlineLevel="0" collapsed="false">
      <c r="A263" s="6" t="s">
        <v>1206</v>
      </c>
      <c r="B263" s="6" t="s">
        <v>1207</v>
      </c>
      <c r="C263" s="6" t="s">
        <v>1208</v>
      </c>
      <c r="D263" s="6" t="s">
        <v>1142</v>
      </c>
      <c r="E263" s="6" t="s">
        <v>652</v>
      </c>
      <c r="F263" s="6" t="n">
        <v>1</v>
      </c>
      <c r="G263" s="6"/>
    </row>
    <row r="264" customFormat="false" ht="23.25" hidden="false" customHeight="true" outlineLevel="0" collapsed="false">
      <c r="A264" s="6" t="s">
        <v>1209</v>
      </c>
      <c r="B264" s="6" t="s">
        <v>1210</v>
      </c>
      <c r="C264" s="6" t="s">
        <v>1208</v>
      </c>
      <c r="D264" s="6" t="s">
        <v>1142</v>
      </c>
      <c r="E264" s="6" t="s">
        <v>652</v>
      </c>
      <c r="F264" s="6" t="n">
        <v>1</v>
      </c>
      <c r="G264" s="6"/>
    </row>
    <row r="265" customFormat="false" ht="23.25" hidden="false" customHeight="true" outlineLevel="0" collapsed="false">
      <c r="A265" s="6" t="s">
        <v>1211</v>
      </c>
      <c r="B265" s="6" t="s">
        <v>1212</v>
      </c>
      <c r="C265" s="6" t="s">
        <v>1208</v>
      </c>
      <c r="D265" s="6" t="s">
        <v>1142</v>
      </c>
      <c r="E265" s="6" t="s">
        <v>652</v>
      </c>
      <c r="F265" s="6" t="n">
        <v>1</v>
      </c>
      <c r="G265" s="6"/>
    </row>
    <row r="266" customFormat="false" ht="23.25" hidden="false" customHeight="true" outlineLevel="0" collapsed="false">
      <c r="A266" s="6" t="s">
        <v>1213</v>
      </c>
      <c r="B266" s="6" t="s">
        <v>1214</v>
      </c>
      <c r="C266" s="6" t="s">
        <v>1208</v>
      </c>
      <c r="D266" s="6" t="s">
        <v>1142</v>
      </c>
      <c r="E266" s="6" t="s">
        <v>652</v>
      </c>
      <c r="F266" s="6" t="n">
        <v>1</v>
      </c>
      <c r="G266" s="6"/>
    </row>
    <row r="267" customFormat="false" ht="23.25" hidden="false" customHeight="true" outlineLevel="0" collapsed="false">
      <c r="A267" s="6" t="s">
        <v>1215</v>
      </c>
      <c r="B267" s="6" t="s">
        <v>1216</v>
      </c>
      <c r="C267" s="6" t="s">
        <v>1208</v>
      </c>
      <c r="D267" s="6" t="s">
        <v>1142</v>
      </c>
      <c r="E267" s="6" t="s">
        <v>652</v>
      </c>
      <c r="F267" s="6" t="n">
        <v>1</v>
      </c>
      <c r="G267" s="6"/>
    </row>
    <row r="268" customFormat="false" ht="23.25" hidden="false" customHeight="true" outlineLevel="0" collapsed="false">
      <c r="A268" s="6" t="s">
        <v>1217</v>
      </c>
      <c r="B268" s="6" t="s">
        <v>1218</v>
      </c>
      <c r="C268" s="6" t="s">
        <v>1208</v>
      </c>
      <c r="D268" s="6" t="s">
        <v>1142</v>
      </c>
      <c r="E268" s="6" t="s">
        <v>652</v>
      </c>
      <c r="F268" s="6" t="n">
        <v>7</v>
      </c>
      <c r="G268" s="6"/>
    </row>
    <row r="269" customFormat="false" ht="23.25" hidden="false" customHeight="true" outlineLevel="0" collapsed="false">
      <c r="A269" s="6" t="s">
        <v>1219</v>
      </c>
      <c r="B269" s="6" t="s">
        <v>1220</v>
      </c>
      <c r="C269" s="6" t="s">
        <v>1208</v>
      </c>
      <c r="D269" s="6" t="s">
        <v>1142</v>
      </c>
      <c r="E269" s="6" t="s">
        <v>652</v>
      </c>
      <c r="F269" s="6" t="n">
        <v>1</v>
      </c>
      <c r="G269" s="6"/>
    </row>
    <row r="270" customFormat="false" ht="23.25" hidden="false" customHeight="true" outlineLevel="0" collapsed="false">
      <c r="A270" s="6" t="s">
        <v>1221</v>
      </c>
      <c r="B270" s="6" t="s">
        <v>1222</v>
      </c>
      <c r="C270" s="6" t="s">
        <v>1208</v>
      </c>
      <c r="D270" s="6" t="s">
        <v>1142</v>
      </c>
      <c r="E270" s="6" t="s">
        <v>652</v>
      </c>
      <c r="F270" s="6" t="n">
        <v>1</v>
      </c>
      <c r="G270" s="6"/>
    </row>
    <row r="271" customFormat="false" ht="23.25" hidden="false" customHeight="true" outlineLevel="0" collapsed="false">
      <c r="A271" s="6" t="s">
        <v>1223</v>
      </c>
      <c r="B271" s="6" t="s">
        <v>1224</v>
      </c>
      <c r="C271" s="6" t="s">
        <v>1208</v>
      </c>
      <c r="D271" s="6" t="s">
        <v>1142</v>
      </c>
      <c r="E271" s="6" t="s">
        <v>652</v>
      </c>
      <c r="F271" s="6" t="n">
        <v>5</v>
      </c>
      <c r="G271" s="6"/>
    </row>
    <row r="272" customFormat="false" ht="23.25" hidden="false" customHeight="true" outlineLevel="0" collapsed="false">
      <c r="A272" s="6" t="s">
        <v>1225</v>
      </c>
      <c r="B272" s="6" t="s">
        <v>1226</v>
      </c>
      <c r="C272" s="6" t="s">
        <v>1208</v>
      </c>
      <c r="D272" s="6" t="s">
        <v>1142</v>
      </c>
      <c r="E272" s="6" t="s">
        <v>652</v>
      </c>
      <c r="F272" s="6" t="n">
        <v>1</v>
      </c>
      <c r="G272" s="6" t="s">
        <v>1227</v>
      </c>
    </row>
    <row r="273" customFormat="false" ht="23.25" hidden="false" customHeight="true" outlineLevel="0" collapsed="false">
      <c r="A273" s="6" t="s">
        <v>1228</v>
      </c>
      <c r="B273" s="6" t="s">
        <v>1229</v>
      </c>
      <c r="C273" s="6" t="s">
        <v>1208</v>
      </c>
      <c r="D273" s="6" t="s">
        <v>1142</v>
      </c>
      <c r="E273" s="6" t="s">
        <v>652</v>
      </c>
      <c r="F273" s="6" t="n">
        <v>1</v>
      </c>
      <c r="G273" s="6"/>
    </row>
    <row r="274" customFormat="false" ht="23.25" hidden="false" customHeight="true" outlineLevel="0" collapsed="false">
      <c r="A274" s="6" t="s">
        <v>1230</v>
      </c>
      <c r="B274" s="6" t="s">
        <v>1231</v>
      </c>
      <c r="C274" s="6" t="s">
        <v>1208</v>
      </c>
      <c r="D274" s="6" t="s">
        <v>1142</v>
      </c>
      <c r="E274" s="6" t="s">
        <v>652</v>
      </c>
      <c r="F274" s="6" t="n">
        <v>1</v>
      </c>
      <c r="G274" s="6"/>
    </row>
    <row r="275" customFormat="false" ht="23.25" hidden="false" customHeight="true" outlineLevel="0" collapsed="false">
      <c r="A275" s="6" t="s">
        <v>1232</v>
      </c>
      <c r="B275" s="6" t="s">
        <v>1233</v>
      </c>
      <c r="C275" s="6" t="s">
        <v>1208</v>
      </c>
      <c r="D275" s="6" t="s">
        <v>1142</v>
      </c>
      <c r="E275" s="6" t="s">
        <v>652</v>
      </c>
      <c r="F275" s="6" t="n">
        <v>1</v>
      </c>
      <c r="G275" s="6"/>
    </row>
    <row r="276" customFormat="false" ht="23.25" hidden="false" customHeight="true" outlineLevel="0" collapsed="false">
      <c r="A276" s="6" t="s">
        <v>1234</v>
      </c>
      <c r="B276" s="6" t="s">
        <v>1235</v>
      </c>
      <c r="C276" s="6" t="s">
        <v>1208</v>
      </c>
      <c r="D276" s="6" t="s">
        <v>1142</v>
      </c>
      <c r="E276" s="6" t="s">
        <v>652</v>
      </c>
      <c r="F276" s="6" t="n">
        <v>1</v>
      </c>
      <c r="G276" s="6"/>
    </row>
    <row r="277" customFormat="false" ht="23.25" hidden="false" customHeight="true" outlineLevel="0" collapsed="false">
      <c r="A277" s="6" t="s">
        <v>1236</v>
      </c>
      <c r="B277" s="6" t="s">
        <v>1237</v>
      </c>
      <c r="C277" s="6" t="s">
        <v>1208</v>
      </c>
      <c r="D277" s="6" t="s">
        <v>1142</v>
      </c>
      <c r="E277" s="6" t="s">
        <v>652</v>
      </c>
      <c r="F277" s="6" t="n">
        <v>1</v>
      </c>
      <c r="G277" s="6" t="s">
        <v>1238</v>
      </c>
    </row>
    <row r="278" customFormat="false" ht="23.25" hidden="false" customHeight="true" outlineLevel="0" collapsed="false">
      <c r="A278" s="6" t="s">
        <v>1239</v>
      </c>
      <c r="B278" s="6" t="s">
        <v>1240</v>
      </c>
      <c r="C278" s="6" t="s">
        <v>1208</v>
      </c>
      <c r="D278" s="6" t="s">
        <v>1142</v>
      </c>
      <c r="E278" s="6" t="s">
        <v>652</v>
      </c>
      <c r="F278" s="6" t="n">
        <v>1</v>
      </c>
      <c r="G278" s="6" t="s">
        <v>1238</v>
      </c>
    </row>
    <row r="279" customFormat="false" ht="23.25" hidden="false" customHeight="true" outlineLevel="0" collapsed="false">
      <c r="A279" s="6" t="s">
        <v>566</v>
      </c>
      <c r="B279" s="6" t="s">
        <v>1241</v>
      </c>
      <c r="C279" s="6" t="s">
        <v>1208</v>
      </c>
      <c r="D279" s="6" t="s">
        <v>1142</v>
      </c>
      <c r="E279" s="6" t="s">
        <v>652</v>
      </c>
      <c r="F279" s="6" t="n">
        <v>1</v>
      </c>
      <c r="G279" s="6"/>
    </row>
    <row r="280" customFormat="false" ht="23.25" hidden="false" customHeight="true" outlineLevel="0" collapsed="false">
      <c r="A280" s="6" t="s">
        <v>1242</v>
      </c>
      <c r="B280" s="6" t="s">
        <v>1243</v>
      </c>
      <c r="C280" s="6" t="s">
        <v>1208</v>
      </c>
      <c r="D280" s="6" t="s">
        <v>1142</v>
      </c>
      <c r="E280" s="6" t="s">
        <v>652</v>
      </c>
      <c r="F280" s="6" t="n">
        <v>7</v>
      </c>
      <c r="G280" s="6"/>
    </row>
    <row r="281" customFormat="false" ht="23.25" hidden="false" customHeight="true" outlineLevel="0" collapsed="false">
      <c r="A281" s="6" t="s">
        <v>1244</v>
      </c>
      <c r="B281" s="6" t="s">
        <v>1245</v>
      </c>
      <c r="C281" s="6" t="s">
        <v>1208</v>
      </c>
      <c r="D281" s="6" t="s">
        <v>1142</v>
      </c>
      <c r="E281" s="6" t="s">
        <v>652</v>
      </c>
      <c r="F281" s="6" t="n">
        <v>4</v>
      </c>
      <c r="G281" s="6"/>
    </row>
    <row r="282" customFormat="false" ht="23.25" hidden="false" customHeight="true" outlineLevel="0" collapsed="false">
      <c r="A282" s="6" t="s">
        <v>1246</v>
      </c>
      <c r="B282" s="6" t="s">
        <v>1247</v>
      </c>
      <c r="C282" s="6" t="s">
        <v>1208</v>
      </c>
      <c r="D282" s="6" t="s">
        <v>1142</v>
      </c>
      <c r="E282" s="6" t="s">
        <v>652</v>
      </c>
      <c r="F282" s="6" t="n">
        <v>1</v>
      </c>
      <c r="G282" s="6" t="s">
        <v>830</v>
      </c>
    </row>
    <row r="283" customFormat="false" ht="23.25" hidden="false" customHeight="true" outlineLevel="0" collapsed="false">
      <c r="A283" s="6" t="s">
        <v>1248</v>
      </c>
      <c r="B283" s="6" t="s">
        <v>1249</v>
      </c>
      <c r="C283" s="6" t="s">
        <v>1208</v>
      </c>
      <c r="D283" s="6" t="s">
        <v>1142</v>
      </c>
      <c r="E283" s="6" t="s">
        <v>652</v>
      </c>
      <c r="F283" s="6" t="n">
        <v>1</v>
      </c>
      <c r="G283" s="6"/>
    </row>
    <row r="284" customFormat="false" ht="23.25" hidden="false" customHeight="true" outlineLevel="0" collapsed="false">
      <c r="A284" s="6" t="s">
        <v>1250</v>
      </c>
      <c r="B284" s="6" t="s">
        <v>1251</v>
      </c>
      <c r="C284" s="6" t="s">
        <v>1208</v>
      </c>
      <c r="D284" s="6" t="s">
        <v>1142</v>
      </c>
      <c r="E284" s="6" t="s">
        <v>652</v>
      </c>
      <c r="F284" s="6" t="n">
        <v>1</v>
      </c>
      <c r="G284" s="6"/>
    </row>
    <row r="285" customFormat="false" ht="23.25" hidden="false" customHeight="true" outlineLevel="0" collapsed="false">
      <c r="A285" s="6" t="s">
        <v>1252</v>
      </c>
      <c r="B285" s="6" t="s">
        <v>1253</v>
      </c>
      <c r="C285" s="6" t="s">
        <v>1208</v>
      </c>
      <c r="D285" s="6" t="s">
        <v>1142</v>
      </c>
      <c r="E285" s="6" t="s">
        <v>652</v>
      </c>
      <c r="F285" s="6" t="n">
        <v>1</v>
      </c>
      <c r="G285" s="6"/>
    </row>
    <row r="286" customFormat="false" ht="23.25" hidden="false" customHeight="true" outlineLevel="0" collapsed="false">
      <c r="A286" s="6" t="s">
        <v>1254</v>
      </c>
      <c r="B286" s="6" t="s">
        <v>1255</v>
      </c>
      <c r="C286" s="6" t="s">
        <v>1208</v>
      </c>
      <c r="D286" s="6" t="s">
        <v>1142</v>
      </c>
      <c r="E286" s="6" t="s">
        <v>652</v>
      </c>
      <c r="F286" s="6" t="n">
        <v>1</v>
      </c>
      <c r="G286" s="6"/>
    </row>
    <row r="287" customFormat="false" ht="23.25" hidden="false" customHeight="true" outlineLevel="0" collapsed="false">
      <c r="A287" s="6" t="s">
        <v>1256</v>
      </c>
      <c r="B287" s="6" t="s">
        <v>1257</v>
      </c>
      <c r="C287" s="6" t="s">
        <v>1208</v>
      </c>
      <c r="D287" s="6" t="s">
        <v>1142</v>
      </c>
      <c r="E287" s="6" t="s">
        <v>652</v>
      </c>
      <c r="F287" s="6" t="n">
        <v>11</v>
      </c>
      <c r="G287" s="6"/>
    </row>
    <row r="288" customFormat="false" ht="23.25" hidden="false" customHeight="true" outlineLevel="0" collapsed="false">
      <c r="A288" s="6" t="s">
        <v>1258</v>
      </c>
      <c r="B288" s="6" t="s">
        <v>1259</v>
      </c>
      <c r="C288" s="6" t="s">
        <v>1208</v>
      </c>
      <c r="D288" s="6" t="s">
        <v>1142</v>
      </c>
      <c r="E288" s="6" t="s">
        <v>652</v>
      </c>
      <c r="F288" s="6" t="n">
        <v>1</v>
      </c>
      <c r="G288" s="6"/>
    </row>
    <row r="289" customFormat="false" ht="23.25" hidden="false" customHeight="true" outlineLevel="0" collapsed="false">
      <c r="A289" s="6" t="s">
        <v>1260</v>
      </c>
      <c r="B289" s="6" t="s">
        <v>1261</v>
      </c>
      <c r="C289" s="6" t="s">
        <v>1208</v>
      </c>
      <c r="D289" s="6" t="s">
        <v>1142</v>
      </c>
      <c r="E289" s="6" t="s">
        <v>652</v>
      </c>
      <c r="F289" s="6" t="n">
        <v>1</v>
      </c>
      <c r="G289" s="6"/>
    </row>
    <row r="290" customFormat="false" ht="23.25" hidden="false" customHeight="true" outlineLevel="0" collapsed="false">
      <c r="A290" s="6" t="s">
        <v>1262</v>
      </c>
      <c r="B290" s="6" t="s">
        <v>1263</v>
      </c>
      <c r="C290" s="6" t="s">
        <v>1208</v>
      </c>
      <c r="D290" s="6" t="s">
        <v>1142</v>
      </c>
      <c r="E290" s="6" t="s">
        <v>652</v>
      </c>
      <c r="F290" s="6" t="n">
        <v>1</v>
      </c>
      <c r="G290" s="6" t="s">
        <v>1264</v>
      </c>
    </row>
    <row r="291" customFormat="false" ht="23.25" hidden="false" customHeight="true" outlineLevel="0" collapsed="false">
      <c r="A291" s="6" t="s">
        <v>1265</v>
      </c>
      <c r="B291" s="6" t="s">
        <v>1266</v>
      </c>
      <c r="C291" s="6" t="s">
        <v>1208</v>
      </c>
      <c r="D291" s="6" t="s">
        <v>1142</v>
      </c>
      <c r="E291" s="6" t="s">
        <v>652</v>
      </c>
      <c r="F291" s="6" t="n">
        <v>1</v>
      </c>
      <c r="G291" s="6"/>
    </row>
    <row r="292" customFormat="false" ht="23.25" hidden="false" customHeight="true" outlineLevel="0" collapsed="false">
      <c r="A292" s="6" t="s">
        <v>1267</v>
      </c>
      <c r="B292" s="6" t="s">
        <v>1268</v>
      </c>
      <c r="C292" s="6" t="s">
        <v>1208</v>
      </c>
      <c r="D292" s="6" t="s">
        <v>1142</v>
      </c>
      <c r="E292" s="6" t="s">
        <v>652</v>
      </c>
      <c r="F292" s="6" t="n">
        <v>1</v>
      </c>
      <c r="G292" s="6"/>
    </row>
    <row r="293" customFormat="false" ht="23.25" hidden="false" customHeight="true" outlineLevel="0" collapsed="false">
      <c r="A293" s="6" t="s">
        <v>1269</v>
      </c>
      <c r="B293" s="6" t="s">
        <v>1270</v>
      </c>
      <c r="C293" s="6" t="s">
        <v>1271</v>
      </c>
      <c r="D293" s="6" t="s">
        <v>1272</v>
      </c>
      <c r="E293" s="6" t="s">
        <v>652</v>
      </c>
      <c r="F293" s="6" t="n">
        <v>36</v>
      </c>
      <c r="G293" s="6"/>
    </row>
    <row r="294" customFormat="false" ht="23.25" hidden="false" customHeight="true" outlineLevel="0" collapsed="false">
      <c r="A294" s="6" t="s">
        <v>1273</v>
      </c>
      <c r="B294" s="6" t="s">
        <v>1274</v>
      </c>
      <c r="C294" s="6" t="s">
        <v>1271</v>
      </c>
      <c r="D294" s="6" t="s">
        <v>1272</v>
      </c>
      <c r="E294" s="6" t="s">
        <v>652</v>
      </c>
      <c r="F294" s="6" t="n">
        <v>1</v>
      </c>
      <c r="G294" s="6"/>
    </row>
    <row r="295" customFormat="false" ht="23.25" hidden="false" customHeight="true" outlineLevel="0" collapsed="false">
      <c r="A295" s="6" t="s">
        <v>1275</v>
      </c>
      <c r="B295" s="6" t="s">
        <v>1276</v>
      </c>
      <c r="C295" s="6" t="s">
        <v>1271</v>
      </c>
      <c r="D295" s="6" t="s">
        <v>1272</v>
      </c>
      <c r="E295" s="6" t="s">
        <v>652</v>
      </c>
      <c r="F295" s="6" t="n">
        <v>1</v>
      </c>
      <c r="G295" s="6"/>
    </row>
    <row r="296" customFormat="false" ht="23.25" hidden="false" customHeight="true" outlineLevel="0" collapsed="false">
      <c r="A296" s="6" t="s">
        <v>1277</v>
      </c>
      <c r="B296" s="6" t="s">
        <v>1278</v>
      </c>
      <c r="C296" s="6" t="s">
        <v>1271</v>
      </c>
      <c r="D296" s="6" t="s">
        <v>1272</v>
      </c>
      <c r="E296" s="6" t="s">
        <v>652</v>
      </c>
      <c r="F296" s="6" t="n">
        <v>1</v>
      </c>
      <c r="G296" s="6"/>
    </row>
    <row r="297" customFormat="false" ht="23.25" hidden="false" customHeight="true" outlineLevel="0" collapsed="false">
      <c r="A297" s="6" t="s">
        <v>1279</v>
      </c>
      <c r="B297" s="6" t="s">
        <v>1280</v>
      </c>
      <c r="C297" s="6" t="s">
        <v>1271</v>
      </c>
      <c r="D297" s="6" t="s">
        <v>1272</v>
      </c>
      <c r="E297" s="6" t="s">
        <v>652</v>
      </c>
      <c r="F297" s="6" t="n">
        <v>1</v>
      </c>
      <c r="G297" s="6"/>
    </row>
    <row r="298" customFormat="false" ht="23.25" hidden="false" customHeight="true" outlineLevel="0" collapsed="false">
      <c r="A298" s="6" t="s">
        <v>1281</v>
      </c>
      <c r="B298" s="6" t="s">
        <v>1282</v>
      </c>
      <c r="C298" s="6" t="s">
        <v>1271</v>
      </c>
      <c r="D298" s="6" t="s">
        <v>1272</v>
      </c>
      <c r="E298" s="6" t="s">
        <v>652</v>
      </c>
      <c r="F298" s="6" t="n">
        <v>1</v>
      </c>
      <c r="G298" s="6"/>
    </row>
    <row r="299" customFormat="false" ht="23.25" hidden="false" customHeight="true" outlineLevel="0" collapsed="false">
      <c r="A299" s="6" t="s">
        <v>1283</v>
      </c>
      <c r="B299" s="6" t="s">
        <v>1284</v>
      </c>
      <c r="C299" s="6" t="s">
        <v>1271</v>
      </c>
      <c r="D299" s="6" t="s">
        <v>1272</v>
      </c>
      <c r="E299" s="6" t="s">
        <v>652</v>
      </c>
      <c r="F299" s="6" t="n">
        <v>1</v>
      </c>
      <c r="G299" s="6"/>
    </row>
    <row r="300" customFormat="false" ht="23.25" hidden="false" customHeight="true" outlineLevel="0" collapsed="false">
      <c r="A300" s="6" t="s">
        <v>1285</v>
      </c>
      <c r="B300" s="6" t="s">
        <v>1286</v>
      </c>
      <c r="C300" s="6" t="s">
        <v>1271</v>
      </c>
      <c r="D300" s="6" t="s">
        <v>1272</v>
      </c>
      <c r="E300" s="6" t="s">
        <v>652</v>
      </c>
      <c r="F300" s="6" t="n">
        <v>1</v>
      </c>
      <c r="G300" s="6"/>
    </row>
    <row r="301" customFormat="false" ht="23.25" hidden="false" customHeight="true" outlineLevel="0" collapsed="false">
      <c r="A301" s="6" t="s">
        <v>1287</v>
      </c>
      <c r="B301" s="6" t="s">
        <v>1288</v>
      </c>
      <c r="C301" s="6" t="s">
        <v>1271</v>
      </c>
      <c r="D301" s="6" t="s">
        <v>1272</v>
      </c>
      <c r="E301" s="6" t="s">
        <v>652</v>
      </c>
      <c r="F301" s="6" t="n">
        <v>1</v>
      </c>
      <c r="G301" s="6" t="s">
        <v>1289</v>
      </c>
    </row>
    <row r="302" customFormat="false" ht="23.25" hidden="false" customHeight="true" outlineLevel="0" collapsed="false">
      <c r="A302" s="6" t="s">
        <v>1290</v>
      </c>
      <c r="B302" s="6" t="s">
        <v>1291</v>
      </c>
      <c r="C302" s="6" t="s">
        <v>1271</v>
      </c>
      <c r="D302" s="6" t="s">
        <v>1272</v>
      </c>
      <c r="E302" s="6" t="s">
        <v>652</v>
      </c>
      <c r="F302" s="6" t="n">
        <v>1</v>
      </c>
      <c r="G302" s="6"/>
    </row>
    <row r="303" customFormat="false" ht="23.25" hidden="false" customHeight="true" outlineLevel="0" collapsed="false">
      <c r="A303" s="6" t="s">
        <v>1292</v>
      </c>
      <c r="B303" s="6" t="s">
        <v>1293</v>
      </c>
      <c r="C303" s="6" t="s">
        <v>1271</v>
      </c>
      <c r="D303" s="6" t="s">
        <v>1272</v>
      </c>
      <c r="E303" s="6" t="s">
        <v>652</v>
      </c>
      <c r="F303" s="6" t="n">
        <v>1</v>
      </c>
      <c r="G303" s="6"/>
    </row>
    <row r="304" customFormat="false" ht="23.25" hidden="false" customHeight="true" outlineLevel="0" collapsed="false">
      <c r="A304" s="6" t="s">
        <v>1294</v>
      </c>
      <c r="B304" s="6" t="s">
        <v>1295</v>
      </c>
      <c r="C304" s="6" t="s">
        <v>1271</v>
      </c>
      <c r="D304" s="6" t="s">
        <v>1272</v>
      </c>
      <c r="E304" s="6" t="s">
        <v>652</v>
      </c>
      <c r="F304" s="6" t="n">
        <v>1</v>
      </c>
      <c r="G304" s="6"/>
    </row>
    <row r="305" customFormat="false" ht="23.25" hidden="false" customHeight="true" outlineLevel="0" collapsed="false">
      <c r="A305" s="6" t="s">
        <v>1296</v>
      </c>
      <c r="B305" s="6" t="s">
        <v>1297</v>
      </c>
      <c r="C305" s="6" t="s">
        <v>1298</v>
      </c>
      <c r="D305" s="6" t="s">
        <v>1272</v>
      </c>
      <c r="E305" s="6" t="s">
        <v>1002</v>
      </c>
      <c r="F305" s="6" t="n">
        <v>1</v>
      </c>
      <c r="G305" s="6"/>
    </row>
    <row r="306" customFormat="false" ht="15" hidden="false" customHeight="true" outlineLevel="0" collapsed="false">
      <c r="A306" s="6" t="s">
        <v>1299</v>
      </c>
      <c r="B306" s="6" t="s">
        <v>1300</v>
      </c>
      <c r="C306" s="6" t="s">
        <v>1298</v>
      </c>
      <c r="D306" s="6" t="s">
        <v>1272</v>
      </c>
      <c r="E306" s="6" t="s">
        <v>1002</v>
      </c>
      <c r="F306" s="6" t="n">
        <v>1</v>
      </c>
      <c r="G306" s="6"/>
    </row>
    <row r="307" customFormat="false" ht="15" hidden="false" customHeight="true" outlineLevel="0" collapsed="false">
      <c r="A307" s="6" t="s">
        <v>1301</v>
      </c>
      <c r="B307" s="6" t="s">
        <v>1302</v>
      </c>
      <c r="C307" s="6" t="s">
        <v>1298</v>
      </c>
      <c r="D307" s="6" t="s">
        <v>1272</v>
      </c>
      <c r="E307" s="6" t="s">
        <v>1002</v>
      </c>
      <c r="F307" s="6" t="n">
        <v>1</v>
      </c>
      <c r="G307" s="6"/>
    </row>
    <row r="308" customFormat="false" ht="15" hidden="false" customHeight="true" outlineLevel="0" collapsed="false">
      <c r="A308" s="6" t="s">
        <v>1303</v>
      </c>
      <c r="B308" s="6" t="s">
        <v>1304</v>
      </c>
      <c r="C308" s="6" t="s">
        <v>1298</v>
      </c>
      <c r="D308" s="6" t="s">
        <v>1272</v>
      </c>
      <c r="E308" s="6" t="s">
        <v>1002</v>
      </c>
      <c r="F308" s="6" t="n">
        <v>1</v>
      </c>
      <c r="G308" s="6"/>
    </row>
    <row r="309" customFormat="false" ht="15" hidden="false" customHeight="true" outlineLevel="0" collapsed="false">
      <c r="A309" s="6" t="s">
        <v>1305</v>
      </c>
      <c r="B309" s="6" t="s">
        <v>1306</v>
      </c>
      <c r="C309" s="6" t="s">
        <v>1298</v>
      </c>
      <c r="D309" s="6" t="s">
        <v>1272</v>
      </c>
      <c r="E309" s="6" t="s">
        <v>1002</v>
      </c>
      <c r="F309" s="6" t="n">
        <v>1</v>
      </c>
      <c r="G309" s="6"/>
    </row>
    <row r="310" customFormat="false" ht="15" hidden="false" customHeight="true" outlineLevel="0" collapsed="false">
      <c r="A310" s="6" t="s">
        <v>1307</v>
      </c>
      <c r="B310" s="6" t="s">
        <v>1308</v>
      </c>
      <c r="C310" s="6" t="s">
        <v>1298</v>
      </c>
      <c r="D310" s="6" t="s">
        <v>1272</v>
      </c>
      <c r="E310" s="6" t="s">
        <v>1002</v>
      </c>
      <c r="F310" s="6" t="n">
        <v>1</v>
      </c>
      <c r="G310" s="6"/>
    </row>
    <row r="311" customFormat="false" ht="23.25" hidden="false" customHeight="true" outlineLevel="0" collapsed="false">
      <c r="A311" s="6" t="s">
        <v>1309</v>
      </c>
      <c r="B311" s="6" t="s">
        <v>1310</v>
      </c>
      <c r="C311" s="6" t="s">
        <v>715</v>
      </c>
      <c r="D311" s="6" t="s">
        <v>1311</v>
      </c>
      <c r="E311" s="6" t="s">
        <v>652</v>
      </c>
      <c r="F311" s="6" t="n">
        <v>1</v>
      </c>
      <c r="G311" s="6"/>
    </row>
    <row r="312" customFormat="false" ht="23.25" hidden="false" customHeight="true" outlineLevel="0" collapsed="false">
      <c r="A312" s="6" t="s">
        <v>1312</v>
      </c>
      <c r="B312" s="6" t="s">
        <v>1313</v>
      </c>
      <c r="C312" s="6" t="s">
        <v>715</v>
      </c>
      <c r="D312" s="6" t="s">
        <v>1311</v>
      </c>
      <c r="E312" s="6" t="s">
        <v>652</v>
      </c>
      <c r="F312" s="6" t="n">
        <v>11</v>
      </c>
      <c r="G312" s="6"/>
    </row>
    <row r="313" customFormat="false" ht="23.25" hidden="false" customHeight="true" outlineLevel="0" collapsed="false">
      <c r="A313" s="6" t="s">
        <v>1314</v>
      </c>
      <c r="B313" s="6" t="s">
        <v>1315</v>
      </c>
      <c r="C313" s="6" t="s">
        <v>715</v>
      </c>
      <c r="D313" s="6" t="s">
        <v>1311</v>
      </c>
      <c r="E313" s="6" t="s">
        <v>652</v>
      </c>
      <c r="F313" s="6" t="n">
        <v>12</v>
      </c>
      <c r="G313" s="6"/>
    </row>
    <row r="314" customFormat="false" ht="23.25" hidden="false" customHeight="true" outlineLevel="0" collapsed="false">
      <c r="A314" s="6" t="s">
        <v>1316</v>
      </c>
      <c r="B314" s="6" t="s">
        <v>1317</v>
      </c>
      <c r="C314" s="6" t="s">
        <v>715</v>
      </c>
      <c r="D314" s="6" t="s">
        <v>1311</v>
      </c>
      <c r="E314" s="6" t="s">
        <v>652</v>
      </c>
      <c r="F314" s="6" t="n">
        <v>1</v>
      </c>
      <c r="G314" s="6"/>
    </row>
    <row r="315" customFormat="false" ht="23.25" hidden="false" customHeight="true" outlineLevel="0" collapsed="false">
      <c r="A315" s="6" t="s">
        <v>1318</v>
      </c>
      <c r="B315" s="6" t="s">
        <v>1319</v>
      </c>
      <c r="C315" s="6" t="s">
        <v>715</v>
      </c>
      <c r="D315" s="6" t="s">
        <v>1311</v>
      </c>
      <c r="E315" s="6" t="s">
        <v>652</v>
      </c>
      <c r="F315" s="6" t="n">
        <v>1</v>
      </c>
      <c r="G315" s="6"/>
    </row>
    <row r="316" customFormat="false" ht="23.25" hidden="false" customHeight="true" outlineLevel="0" collapsed="false">
      <c r="A316" s="6" t="s">
        <v>1320</v>
      </c>
      <c r="B316" s="6" t="s">
        <v>1321</v>
      </c>
      <c r="C316" s="6" t="s">
        <v>715</v>
      </c>
      <c r="D316" s="6" t="s">
        <v>1311</v>
      </c>
      <c r="E316" s="6" t="s">
        <v>652</v>
      </c>
      <c r="F316" s="6" t="n">
        <v>1</v>
      </c>
      <c r="G316" s="6"/>
    </row>
    <row r="317" customFormat="false" ht="23.25" hidden="false" customHeight="true" outlineLevel="0" collapsed="false">
      <c r="A317" s="6" t="s">
        <v>1322</v>
      </c>
      <c r="B317" s="6" t="s">
        <v>1323</v>
      </c>
      <c r="C317" s="6" t="s">
        <v>715</v>
      </c>
      <c r="D317" s="6" t="s">
        <v>1311</v>
      </c>
      <c r="E317" s="6" t="s">
        <v>652</v>
      </c>
      <c r="F317" s="6" t="n">
        <v>1</v>
      </c>
      <c r="G317" s="6"/>
    </row>
    <row r="318" customFormat="false" ht="23.25" hidden="false" customHeight="true" outlineLevel="0" collapsed="false">
      <c r="A318" s="6" t="s">
        <v>1324</v>
      </c>
      <c r="B318" s="6" t="s">
        <v>1325</v>
      </c>
      <c r="C318" s="6" t="s">
        <v>715</v>
      </c>
      <c r="D318" s="6" t="s">
        <v>1311</v>
      </c>
      <c r="E318" s="6" t="s">
        <v>652</v>
      </c>
      <c r="F318" s="6" t="n">
        <v>1</v>
      </c>
      <c r="G318" s="6" t="s">
        <v>1326</v>
      </c>
    </row>
    <row r="319" customFormat="false" ht="15" hidden="false" customHeight="true" outlineLevel="0" collapsed="false">
      <c r="A319" s="6" t="s">
        <v>1327</v>
      </c>
      <c r="B319" s="6" t="s">
        <v>1328</v>
      </c>
      <c r="C319" s="6" t="s">
        <v>1329</v>
      </c>
      <c r="D319" s="6" t="s">
        <v>1330</v>
      </c>
      <c r="E319" s="6" t="s">
        <v>835</v>
      </c>
      <c r="F319" s="6" t="n">
        <v>10</v>
      </c>
      <c r="G319" s="6"/>
    </row>
    <row r="320" customFormat="false" ht="15" hidden="false" customHeight="true" outlineLevel="0" collapsed="false">
      <c r="A320" s="6" t="s">
        <v>1331</v>
      </c>
      <c r="B320" s="6" t="s">
        <v>1332</v>
      </c>
      <c r="C320" s="6" t="s">
        <v>1329</v>
      </c>
      <c r="D320" s="6" t="s">
        <v>1330</v>
      </c>
      <c r="E320" s="6" t="s">
        <v>835</v>
      </c>
      <c r="F320" s="6" t="n">
        <v>4</v>
      </c>
      <c r="G320" s="6"/>
    </row>
    <row r="321" customFormat="false" ht="15" hidden="false" customHeight="true" outlineLevel="0" collapsed="false">
      <c r="A321" s="6" t="s">
        <v>1333</v>
      </c>
      <c r="B321" s="6" t="s">
        <v>1334</v>
      </c>
      <c r="C321" s="6" t="s">
        <v>1329</v>
      </c>
      <c r="D321" s="6" t="s">
        <v>1330</v>
      </c>
      <c r="E321" s="6" t="s">
        <v>835</v>
      </c>
      <c r="F321" s="6" t="n">
        <v>1</v>
      </c>
      <c r="G321" s="6" t="s">
        <v>1335</v>
      </c>
    </row>
    <row r="322" customFormat="false" ht="15" hidden="false" customHeight="true" outlineLevel="0" collapsed="false">
      <c r="A322" s="6" t="s">
        <v>1336</v>
      </c>
      <c r="B322" s="6" t="s">
        <v>1337</v>
      </c>
      <c r="C322" s="6" t="s">
        <v>1329</v>
      </c>
      <c r="D322" s="6" t="s">
        <v>1330</v>
      </c>
      <c r="E322" s="6" t="s">
        <v>835</v>
      </c>
      <c r="F322" s="6" t="n">
        <v>3</v>
      </c>
      <c r="G322" s="6"/>
    </row>
    <row r="323" customFormat="false" ht="15" hidden="false" customHeight="true" outlineLevel="0" collapsed="false">
      <c r="A323" s="6" t="s">
        <v>1338</v>
      </c>
      <c r="B323" s="6" t="s">
        <v>1339</v>
      </c>
      <c r="C323" s="6" t="s">
        <v>1329</v>
      </c>
      <c r="D323" s="6" t="s">
        <v>1330</v>
      </c>
      <c r="E323" s="6" t="s">
        <v>835</v>
      </c>
      <c r="F323" s="6" t="n">
        <v>7</v>
      </c>
      <c r="G323" s="6"/>
    </row>
    <row r="324" customFormat="false" ht="15" hidden="false" customHeight="true" outlineLevel="0" collapsed="false">
      <c r="A324" s="6" t="s">
        <v>1340</v>
      </c>
      <c r="B324" s="6" t="s">
        <v>1341</v>
      </c>
      <c r="C324" s="6" t="s">
        <v>1329</v>
      </c>
      <c r="D324" s="6" t="s">
        <v>1330</v>
      </c>
      <c r="E324" s="6" t="s">
        <v>835</v>
      </c>
      <c r="F324" s="6" t="n">
        <v>1</v>
      </c>
      <c r="G324" s="6"/>
    </row>
    <row r="325" customFormat="false" ht="15" hidden="false" customHeight="true" outlineLevel="0" collapsed="false">
      <c r="A325" s="6" t="s">
        <v>1342</v>
      </c>
      <c r="B325" s="6" t="s">
        <v>1343</v>
      </c>
      <c r="C325" s="6" t="s">
        <v>1329</v>
      </c>
      <c r="D325" s="6" t="s">
        <v>1330</v>
      </c>
      <c r="E325" s="6" t="s">
        <v>835</v>
      </c>
      <c r="F325" s="6" t="n">
        <v>4</v>
      </c>
      <c r="G325" s="6"/>
    </row>
    <row r="326" customFormat="false" ht="15" hidden="false" customHeight="true" outlineLevel="0" collapsed="false">
      <c r="A326" s="6" t="s">
        <v>1344</v>
      </c>
      <c r="B326" s="6" t="s">
        <v>1345</v>
      </c>
      <c r="C326" s="6" t="s">
        <v>1329</v>
      </c>
      <c r="D326" s="6" t="s">
        <v>1330</v>
      </c>
      <c r="E326" s="6" t="s">
        <v>835</v>
      </c>
      <c r="F326" s="6" t="n">
        <v>2</v>
      </c>
      <c r="G326" s="6"/>
    </row>
    <row r="327" customFormat="false" ht="15" hidden="false" customHeight="true" outlineLevel="0" collapsed="false">
      <c r="A327" s="6" t="s">
        <v>1346</v>
      </c>
      <c r="B327" s="6" t="s">
        <v>1347</v>
      </c>
      <c r="C327" s="6" t="s">
        <v>1329</v>
      </c>
      <c r="D327" s="6" t="s">
        <v>1330</v>
      </c>
      <c r="E327" s="6" t="s">
        <v>835</v>
      </c>
      <c r="F327" s="6" t="n">
        <v>1</v>
      </c>
      <c r="G327" s="6"/>
    </row>
    <row r="328" customFormat="false" ht="15" hidden="false" customHeight="true" outlineLevel="0" collapsed="false">
      <c r="A328" s="6" t="s">
        <v>1348</v>
      </c>
      <c r="B328" s="6" t="s">
        <v>1349</v>
      </c>
      <c r="C328" s="6" t="s">
        <v>1329</v>
      </c>
      <c r="D328" s="6" t="s">
        <v>1330</v>
      </c>
      <c r="E328" s="6" t="s">
        <v>835</v>
      </c>
      <c r="F328" s="6" t="n">
        <v>1</v>
      </c>
      <c r="G328" s="6"/>
    </row>
    <row r="329" customFormat="false" ht="15" hidden="false" customHeight="true" outlineLevel="0" collapsed="false">
      <c r="A329" s="6" t="s">
        <v>1350</v>
      </c>
      <c r="B329" s="6" t="s">
        <v>1351</v>
      </c>
      <c r="C329" s="6" t="s">
        <v>1329</v>
      </c>
      <c r="D329" s="6" t="s">
        <v>1330</v>
      </c>
      <c r="E329" s="6" t="s">
        <v>835</v>
      </c>
      <c r="F329" s="6" t="n">
        <v>1</v>
      </c>
      <c r="G329" s="6"/>
    </row>
    <row r="330" customFormat="false" ht="15" hidden="false" customHeight="true" outlineLevel="0" collapsed="false">
      <c r="A330" s="6" t="s">
        <v>1352</v>
      </c>
      <c r="B330" s="6" t="s">
        <v>1353</v>
      </c>
      <c r="C330" s="6" t="s">
        <v>1329</v>
      </c>
      <c r="D330" s="6" t="s">
        <v>1330</v>
      </c>
      <c r="E330" s="6" t="s">
        <v>835</v>
      </c>
      <c r="F330" s="6" t="n">
        <v>1</v>
      </c>
      <c r="G330" s="6"/>
    </row>
    <row r="331" customFormat="false" ht="23.25" hidden="false" customHeight="true" outlineLevel="0" collapsed="false">
      <c r="A331" s="6" t="s">
        <v>1354</v>
      </c>
      <c r="B331" s="6" t="s">
        <v>1355</v>
      </c>
      <c r="C331" s="6" t="s">
        <v>1356</v>
      </c>
      <c r="D331" s="6" t="s">
        <v>1330</v>
      </c>
      <c r="E331" s="6" t="s">
        <v>652</v>
      </c>
      <c r="F331" s="6" t="n">
        <v>1</v>
      </c>
      <c r="G331" s="6"/>
    </row>
    <row r="332" customFormat="false" ht="23.25" hidden="false" customHeight="true" outlineLevel="0" collapsed="false">
      <c r="A332" s="6" t="s">
        <v>1357</v>
      </c>
      <c r="B332" s="6" t="s">
        <v>1358</v>
      </c>
      <c r="C332" s="6" t="s">
        <v>1356</v>
      </c>
      <c r="D332" s="6" t="s">
        <v>1330</v>
      </c>
      <c r="E332" s="6" t="s">
        <v>652</v>
      </c>
      <c r="F332" s="6" t="n">
        <v>1</v>
      </c>
      <c r="G332" s="6"/>
    </row>
    <row r="333" customFormat="false" ht="23.25" hidden="false" customHeight="true" outlineLevel="0" collapsed="false">
      <c r="A333" s="6" t="s">
        <v>1359</v>
      </c>
      <c r="B333" s="6" t="s">
        <v>1360</v>
      </c>
      <c r="C333" s="6" t="s">
        <v>1356</v>
      </c>
      <c r="D333" s="6" t="s">
        <v>1330</v>
      </c>
      <c r="E333" s="6" t="s">
        <v>652</v>
      </c>
      <c r="F333" s="6" t="n">
        <v>1</v>
      </c>
      <c r="G333" s="6"/>
    </row>
    <row r="334" customFormat="false" ht="23.25" hidden="false" customHeight="true" outlineLevel="0" collapsed="false">
      <c r="A334" s="6" t="s">
        <v>1361</v>
      </c>
      <c r="B334" s="6" t="s">
        <v>1362</v>
      </c>
      <c r="C334" s="6" t="s">
        <v>1356</v>
      </c>
      <c r="D334" s="6" t="s">
        <v>1330</v>
      </c>
      <c r="E334" s="6" t="s">
        <v>652</v>
      </c>
      <c r="F334" s="6" t="n">
        <v>1</v>
      </c>
      <c r="G334" s="6"/>
    </row>
    <row r="335" customFormat="false" ht="23.25" hidden="false" customHeight="true" outlineLevel="0" collapsed="false">
      <c r="A335" s="6" t="s">
        <v>1363</v>
      </c>
      <c r="B335" s="6" t="s">
        <v>1364</v>
      </c>
      <c r="C335" s="6" t="s">
        <v>1356</v>
      </c>
      <c r="D335" s="6" t="s">
        <v>1330</v>
      </c>
      <c r="E335" s="6" t="s">
        <v>652</v>
      </c>
      <c r="F335" s="6" t="n">
        <v>1</v>
      </c>
      <c r="G335" s="6"/>
    </row>
    <row r="336" customFormat="false" ht="23.25" hidden="false" customHeight="true" outlineLevel="0" collapsed="false">
      <c r="A336" s="6" t="s">
        <v>1365</v>
      </c>
      <c r="B336" s="6" t="s">
        <v>1366</v>
      </c>
      <c r="C336" s="6" t="s">
        <v>1356</v>
      </c>
      <c r="D336" s="6" t="s">
        <v>1330</v>
      </c>
      <c r="E336" s="6" t="s">
        <v>652</v>
      </c>
      <c r="F336" s="6" t="n">
        <v>1</v>
      </c>
      <c r="G336" s="6"/>
    </row>
    <row r="337" customFormat="false" ht="23.25" hidden="false" customHeight="true" outlineLevel="0" collapsed="false">
      <c r="A337" s="6" t="s">
        <v>1367</v>
      </c>
      <c r="B337" s="6" t="s">
        <v>1368</v>
      </c>
      <c r="C337" s="6" t="s">
        <v>1356</v>
      </c>
      <c r="D337" s="6" t="s">
        <v>1330</v>
      </c>
      <c r="E337" s="6" t="s">
        <v>652</v>
      </c>
      <c r="F337" s="6" t="n">
        <v>1</v>
      </c>
      <c r="G337" s="6"/>
    </row>
    <row r="338" customFormat="false" ht="23.25" hidden="false" customHeight="true" outlineLevel="0" collapsed="false">
      <c r="A338" s="6" t="s">
        <v>1369</v>
      </c>
      <c r="B338" s="6" t="s">
        <v>1370</v>
      </c>
      <c r="C338" s="6" t="s">
        <v>1356</v>
      </c>
      <c r="D338" s="6" t="s">
        <v>1330</v>
      </c>
      <c r="E338" s="6" t="s">
        <v>652</v>
      </c>
      <c r="F338" s="6" t="n">
        <v>1</v>
      </c>
      <c r="G338" s="6"/>
    </row>
    <row r="339" customFormat="false" ht="23.25" hidden="false" customHeight="true" outlineLevel="0" collapsed="false">
      <c r="A339" s="6" t="s">
        <v>1371</v>
      </c>
      <c r="B339" s="6" t="s">
        <v>1372</v>
      </c>
      <c r="C339" s="6" t="s">
        <v>1356</v>
      </c>
      <c r="D339" s="6" t="s">
        <v>1330</v>
      </c>
      <c r="E339" s="6" t="s">
        <v>652</v>
      </c>
      <c r="F339" s="6" t="n">
        <v>9</v>
      </c>
      <c r="G339" s="6"/>
    </row>
    <row r="340" customFormat="false" ht="23.25" hidden="false" customHeight="true" outlineLevel="0" collapsed="false">
      <c r="A340" s="6" t="s">
        <v>1373</v>
      </c>
      <c r="B340" s="6" t="s">
        <v>1374</v>
      </c>
      <c r="C340" s="6" t="s">
        <v>1356</v>
      </c>
      <c r="D340" s="6" t="s">
        <v>1330</v>
      </c>
      <c r="E340" s="6" t="s">
        <v>652</v>
      </c>
      <c r="F340" s="6" t="n">
        <v>1</v>
      </c>
      <c r="G340" s="6"/>
    </row>
    <row r="341" customFormat="false" ht="23.25" hidden="false" customHeight="true" outlineLevel="0" collapsed="false">
      <c r="A341" s="6" t="s">
        <v>1375</v>
      </c>
      <c r="B341" s="6" t="s">
        <v>1376</v>
      </c>
      <c r="C341" s="6" t="s">
        <v>1356</v>
      </c>
      <c r="D341" s="6" t="s">
        <v>1330</v>
      </c>
      <c r="E341" s="6" t="s">
        <v>652</v>
      </c>
      <c r="F341" s="6" t="n">
        <v>1</v>
      </c>
      <c r="G341" s="6"/>
    </row>
    <row r="342" customFormat="false" ht="23.25" hidden="false" customHeight="true" outlineLevel="0" collapsed="false">
      <c r="A342" s="6" t="s">
        <v>1377</v>
      </c>
      <c r="B342" s="6" t="s">
        <v>1378</v>
      </c>
      <c r="C342" s="6" t="s">
        <v>1356</v>
      </c>
      <c r="D342" s="6" t="s">
        <v>1330</v>
      </c>
      <c r="E342" s="6" t="s">
        <v>652</v>
      </c>
      <c r="F342" s="6" t="n">
        <v>1</v>
      </c>
      <c r="G342" s="6"/>
    </row>
    <row r="343" customFormat="false" ht="23.25" hidden="false" customHeight="true" outlineLevel="0" collapsed="false">
      <c r="A343" s="6" t="s">
        <v>1379</v>
      </c>
      <c r="B343" s="6" t="s">
        <v>1380</v>
      </c>
      <c r="C343" s="6" t="s">
        <v>1356</v>
      </c>
      <c r="D343" s="6" t="s">
        <v>1330</v>
      </c>
      <c r="E343" s="6" t="s">
        <v>652</v>
      </c>
      <c r="F343" s="6" t="n">
        <v>1</v>
      </c>
      <c r="G343" s="6"/>
    </row>
    <row r="344" customFormat="false" ht="23.25" hidden="false" customHeight="true" outlineLevel="0" collapsed="false">
      <c r="A344" s="6" t="s">
        <v>1381</v>
      </c>
      <c r="B344" s="6" t="s">
        <v>1382</v>
      </c>
      <c r="C344" s="6" t="s">
        <v>1356</v>
      </c>
      <c r="D344" s="6" t="s">
        <v>1330</v>
      </c>
      <c r="E344" s="6" t="s">
        <v>652</v>
      </c>
      <c r="F344" s="6" t="n">
        <v>1</v>
      </c>
      <c r="G344" s="6" t="s">
        <v>1383</v>
      </c>
    </row>
    <row r="345" customFormat="false" ht="23.25" hidden="false" customHeight="true" outlineLevel="0" collapsed="false">
      <c r="A345" s="6" t="s">
        <v>1384</v>
      </c>
      <c r="B345" s="6" t="s">
        <v>1385</v>
      </c>
      <c r="C345" s="6" t="s">
        <v>1356</v>
      </c>
      <c r="D345" s="6" t="s">
        <v>1330</v>
      </c>
      <c r="E345" s="6" t="s">
        <v>652</v>
      </c>
      <c r="F345" s="6" t="n">
        <v>1</v>
      </c>
      <c r="G345" s="6"/>
    </row>
    <row r="346" customFormat="false" ht="23.25" hidden="false" customHeight="true" outlineLevel="0" collapsed="false">
      <c r="A346" s="6" t="s">
        <v>1386</v>
      </c>
      <c r="B346" s="6" t="s">
        <v>1387</v>
      </c>
      <c r="C346" s="6" t="s">
        <v>715</v>
      </c>
      <c r="D346" s="6" t="s">
        <v>1330</v>
      </c>
      <c r="E346" s="6" t="s">
        <v>652</v>
      </c>
      <c r="F346" s="6" t="n">
        <v>1</v>
      </c>
      <c r="G346" s="6"/>
    </row>
    <row r="347" customFormat="false" ht="23.25" hidden="false" customHeight="true" outlineLevel="0" collapsed="false">
      <c r="A347" s="6" t="s">
        <v>1388</v>
      </c>
      <c r="B347" s="6" t="s">
        <v>1389</v>
      </c>
      <c r="C347" s="6" t="s">
        <v>715</v>
      </c>
      <c r="D347" s="6" t="s">
        <v>1330</v>
      </c>
      <c r="E347" s="6" t="s">
        <v>652</v>
      </c>
      <c r="F347" s="6" t="n">
        <v>1</v>
      </c>
      <c r="G347" s="6"/>
    </row>
    <row r="348" customFormat="false" ht="23.25" hidden="false" customHeight="true" outlineLevel="0" collapsed="false">
      <c r="A348" s="6" t="s">
        <v>1390</v>
      </c>
      <c r="B348" s="6" t="s">
        <v>1391</v>
      </c>
      <c r="C348" s="6" t="s">
        <v>715</v>
      </c>
      <c r="D348" s="6" t="s">
        <v>1330</v>
      </c>
      <c r="E348" s="6" t="s">
        <v>652</v>
      </c>
      <c r="F348" s="6" t="n">
        <v>1</v>
      </c>
      <c r="G348" s="6"/>
    </row>
    <row r="349" customFormat="false" ht="23.25" hidden="false" customHeight="true" outlineLevel="0" collapsed="false">
      <c r="A349" s="6" t="s">
        <v>1392</v>
      </c>
      <c r="B349" s="6" t="s">
        <v>1393</v>
      </c>
      <c r="C349" s="6" t="s">
        <v>715</v>
      </c>
      <c r="D349" s="6" t="s">
        <v>1330</v>
      </c>
      <c r="E349" s="6" t="s">
        <v>652</v>
      </c>
      <c r="F349" s="6" t="n">
        <v>1</v>
      </c>
      <c r="G349" s="6"/>
    </row>
    <row r="350" customFormat="false" ht="23.25" hidden="false" customHeight="true" outlineLevel="0" collapsed="false">
      <c r="A350" s="6" t="s">
        <v>1394</v>
      </c>
      <c r="B350" s="6" t="s">
        <v>1395</v>
      </c>
      <c r="C350" s="6" t="s">
        <v>715</v>
      </c>
      <c r="D350" s="6" t="s">
        <v>1330</v>
      </c>
      <c r="E350" s="6" t="s">
        <v>652</v>
      </c>
      <c r="F350" s="6" t="n">
        <v>1</v>
      </c>
      <c r="G350" s="6"/>
    </row>
    <row r="351" customFormat="false" ht="23.25" hidden="false" customHeight="true" outlineLevel="0" collapsed="false">
      <c r="A351" s="6" t="s">
        <v>1396</v>
      </c>
      <c r="B351" s="6" t="s">
        <v>1397</v>
      </c>
      <c r="C351" s="6" t="s">
        <v>715</v>
      </c>
      <c r="D351" s="6" t="s">
        <v>1330</v>
      </c>
      <c r="E351" s="6" t="s">
        <v>652</v>
      </c>
      <c r="F351" s="6" t="n">
        <v>1</v>
      </c>
      <c r="G351" s="6" t="s">
        <v>1398</v>
      </c>
    </row>
    <row r="352" customFormat="false" ht="23.25" hidden="false" customHeight="true" outlineLevel="0" collapsed="false">
      <c r="A352" s="6" t="s">
        <v>1399</v>
      </c>
      <c r="B352" s="6" t="s">
        <v>1400</v>
      </c>
      <c r="C352" s="6" t="s">
        <v>715</v>
      </c>
      <c r="D352" s="6" t="s">
        <v>1330</v>
      </c>
      <c r="E352" s="6" t="s">
        <v>652</v>
      </c>
      <c r="F352" s="6" t="n">
        <v>1</v>
      </c>
      <c r="G352" s="6"/>
    </row>
    <row r="353" customFormat="false" ht="23.25" hidden="false" customHeight="true" outlineLevel="0" collapsed="false">
      <c r="A353" s="6" t="s">
        <v>1401</v>
      </c>
      <c r="B353" s="6" t="s">
        <v>1402</v>
      </c>
      <c r="C353" s="6" t="s">
        <v>715</v>
      </c>
      <c r="D353" s="6" t="s">
        <v>1330</v>
      </c>
      <c r="E353" s="6" t="s">
        <v>652</v>
      </c>
      <c r="F353" s="6" t="n">
        <v>1</v>
      </c>
      <c r="G353" s="6"/>
    </row>
    <row r="354" customFormat="false" ht="23.25" hidden="false" customHeight="true" outlineLevel="0" collapsed="false">
      <c r="A354" s="6" t="s">
        <v>1403</v>
      </c>
      <c r="B354" s="6" t="s">
        <v>1404</v>
      </c>
      <c r="C354" s="6" t="s">
        <v>715</v>
      </c>
      <c r="D354" s="6" t="s">
        <v>1330</v>
      </c>
      <c r="E354" s="6" t="s">
        <v>652</v>
      </c>
      <c r="F354" s="6" t="n">
        <v>1</v>
      </c>
      <c r="G354" s="6"/>
    </row>
    <row r="355" customFormat="false" ht="23.25" hidden="false" customHeight="true" outlineLevel="0" collapsed="false">
      <c r="A355" s="6" t="s">
        <v>1405</v>
      </c>
      <c r="B355" s="6" t="s">
        <v>1406</v>
      </c>
      <c r="C355" s="6" t="s">
        <v>715</v>
      </c>
      <c r="D355" s="6" t="s">
        <v>1330</v>
      </c>
      <c r="E355" s="6" t="s">
        <v>652</v>
      </c>
      <c r="F355" s="6" t="n">
        <v>1</v>
      </c>
      <c r="G355" s="6"/>
    </row>
    <row r="356" customFormat="false" ht="23.25" hidden="false" customHeight="true" outlineLevel="0" collapsed="false">
      <c r="A356" s="6" t="s">
        <v>1407</v>
      </c>
      <c r="B356" s="6" t="s">
        <v>1408</v>
      </c>
      <c r="C356" s="6" t="s">
        <v>715</v>
      </c>
      <c r="D356" s="6" t="s">
        <v>1330</v>
      </c>
      <c r="E356" s="6" t="s">
        <v>652</v>
      </c>
      <c r="F356" s="6" t="n">
        <v>1</v>
      </c>
      <c r="G356" s="6"/>
    </row>
    <row r="357" customFormat="false" ht="23.25" hidden="false" customHeight="true" outlineLevel="0" collapsed="false">
      <c r="A357" s="6" t="s">
        <v>1409</v>
      </c>
      <c r="B357" s="6" t="s">
        <v>1410</v>
      </c>
      <c r="C357" s="6" t="s">
        <v>715</v>
      </c>
      <c r="D357" s="6" t="s">
        <v>1330</v>
      </c>
      <c r="E357" s="6" t="s">
        <v>652</v>
      </c>
      <c r="F357" s="6" t="n">
        <v>1</v>
      </c>
      <c r="G357" s="6"/>
    </row>
    <row r="358" customFormat="false" ht="15" hidden="false" customHeight="true" outlineLevel="0" collapsed="false">
      <c r="A358" s="6" t="s">
        <v>1411</v>
      </c>
      <c r="B358" s="6" t="s">
        <v>1412</v>
      </c>
      <c r="C358" s="6" t="s">
        <v>1413</v>
      </c>
      <c r="D358" s="6" t="s">
        <v>1330</v>
      </c>
      <c r="E358" s="6" t="s">
        <v>731</v>
      </c>
      <c r="F358" s="6" t="n">
        <v>1</v>
      </c>
      <c r="G358" s="6"/>
    </row>
    <row r="359" customFormat="false" ht="15" hidden="false" customHeight="true" outlineLevel="0" collapsed="false">
      <c r="A359" s="6" t="s">
        <v>1414</v>
      </c>
      <c r="B359" s="6" t="s">
        <v>1415</v>
      </c>
      <c r="C359" s="6" t="s">
        <v>1413</v>
      </c>
      <c r="D359" s="6" t="s">
        <v>1330</v>
      </c>
      <c r="E359" s="6" t="s">
        <v>731</v>
      </c>
      <c r="F359" s="6" t="n">
        <v>1</v>
      </c>
      <c r="G359" s="6"/>
    </row>
    <row r="360" customFormat="false" ht="23.25" hidden="false" customHeight="true" outlineLevel="0" collapsed="false">
      <c r="A360" s="6" t="s">
        <v>1416</v>
      </c>
      <c r="B360" s="6" t="s">
        <v>1417</v>
      </c>
      <c r="C360" s="6" t="s">
        <v>1413</v>
      </c>
      <c r="D360" s="6" t="s">
        <v>1330</v>
      </c>
      <c r="E360" s="6" t="s">
        <v>731</v>
      </c>
      <c r="F360" s="6" t="n">
        <v>1</v>
      </c>
      <c r="G360" s="6"/>
    </row>
    <row r="361" customFormat="false" ht="15" hidden="false" customHeight="true" outlineLevel="0" collapsed="false">
      <c r="A361" s="6" t="s">
        <v>1418</v>
      </c>
      <c r="B361" s="6" t="s">
        <v>1419</v>
      </c>
      <c r="C361" s="6" t="s">
        <v>1413</v>
      </c>
      <c r="D361" s="6" t="s">
        <v>1330</v>
      </c>
      <c r="E361" s="6" t="s">
        <v>731</v>
      </c>
      <c r="F361" s="6" t="n">
        <v>1</v>
      </c>
      <c r="G361" s="6"/>
    </row>
    <row r="362" customFormat="false" ht="15" hidden="false" customHeight="true" outlineLevel="0" collapsed="false">
      <c r="A362" s="6" t="s">
        <v>1420</v>
      </c>
      <c r="B362" s="6" t="s">
        <v>1421</v>
      </c>
      <c r="C362" s="6" t="s">
        <v>1413</v>
      </c>
      <c r="D362" s="6" t="s">
        <v>1330</v>
      </c>
      <c r="E362" s="6" t="s">
        <v>731</v>
      </c>
      <c r="F362" s="6" t="n">
        <v>1</v>
      </c>
      <c r="G362" s="6"/>
    </row>
    <row r="363" customFormat="false" ht="15" hidden="false" customHeight="true" outlineLevel="0" collapsed="false">
      <c r="A363" s="6" t="s">
        <v>1422</v>
      </c>
      <c r="B363" s="6" t="s">
        <v>1423</v>
      </c>
      <c r="C363" s="6" t="s">
        <v>1424</v>
      </c>
      <c r="D363" s="6" t="s">
        <v>1330</v>
      </c>
      <c r="E363" s="6" t="s">
        <v>1425</v>
      </c>
      <c r="F363" s="6" t="n">
        <v>1</v>
      </c>
      <c r="G363" s="6"/>
    </row>
    <row r="364" customFormat="false" ht="23.25" hidden="false" customHeight="true" outlineLevel="0" collapsed="false">
      <c r="A364" s="6" t="s">
        <v>1426</v>
      </c>
      <c r="B364" s="6" t="s">
        <v>1427</v>
      </c>
      <c r="C364" s="6" t="s">
        <v>1424</v>
      </c>
      <c r="D364" s="6" t="s">
        <v>1330</v>
      </c>
      <c r="E364" s="6" t="s">
        <v>1425</v>
      </c>
      <c r="F364" s="6" t="n">
        <v>6</v>
      </c>
      <c r="G364" s="6"/>
    </row>
    <row r="365" customFormat="false" ht="15" hidden="false" customHeight="true" outlineLevel="0" collapsed="false">
      <c r="A365" s="6" t="s">
        <v>1428</v>
      </c>
      <c r="B365" s="6" t="s">
        <v>1429</v>
      </c>
      <c r="C365" s="6" t="s">
        <v>1424</v>
      </c>
      <c r="D365" s="6" t="s">
        <v>1330</v>
      </c>
      <c r="E365" s="6" t="s">
        <v>1425</v>
      </c>
      <c r="F365" s="6" t="n">
        <v>1</v>
      </c>
      <c r="G365" s="6"/>
    </row>
    <row r="366" customFormat="false" ht="15" hidden="false" customHeight="true" outlineLevel="0" collapsed="false">
      <c r="A366" s="6" t="s">
        <v>1430</v>
      </c>
      <c r="B366" s="6" t="s">
        <v>1431</v>
      </c>
      <c r="C366" s="6" t="s">
        <v>1424</v>
      </c>
      <c r="D366" s="6" t="s">
        <v>1330</v>
      </c>
      <c r="E366" s="6" t="s">
        <v>1425</v>
      </c>
      <c r="F366" s="6" t="n">
        <v>1</v>
      </c>
      <c r="G366" s="6"/>
    </row>
    <row r="367" customFormat="false" ht="15" hidden="false" customHeight="true" outlineLevel="0" collapsed="false">
      <c r="A367" s="6" t="s">
        <v>1432</v>
      </c>
      <c r="B367" s="6" t="s">
        <v>1433</v>
      </c>
      <c r="C367" s="6" t="s">
        <v>1434</v>
      </c>
      <c r="D367" s="6" t="s">
        <v>1330</v>
      </c>
      <c r="E367" s="6" t="s">
        <v>1425</v>
      </c>
      <c r="F367" s="6" t="n">
        <v>1</v>
      </c>
      <c r="G367" s="6"/>
    </row>
    <row r="368" customFormat="false" ht="15" hidden="false" customHeight="true" outlineLevel="0" collapsed="false">
      <c r="A368" s="6" t="s">
        <v>1435</v>
      </c>
      <c r="B368" s="6" t="s">
        <v>1436</v>
      </c>
      <c r="C368" s="6" t="s">
        <v>1434</v>
      </c>
      <c r="D368" s="6" t="s">
        <v>1330</v>
      </c>
      <c r="E368" s="6" t="s">
        <v>1425</v>
      </c>
      <c r="F368" s="6" t="n">
        <v>1</v>
      </c>
      <c r="G368" s="6"/>
    </row>
    <row r="369" customFormat="false" ht="15" hidden="false" customHeight="true" outlineLevel="0" collapsed="false">
      <c r="A369" s="6" t="s">
        <v>1437</v>
      </c>
      <c r="B369" s="6" t="s">
        <v>1438</v>
      </c>
      <c r="C369" s="6" t="s">
        <v>1434</v>
      </c>
      <c r="D369" s="6" t="s">
        <v>1330</v>
      </c>
      <c r="E369" s="6" t="s">
        <v>1425</v>
      </c>
      <c r="F369" s="6" t="n">
        <v>1</v>
      </c>
      <c r="G369" s="6"/>
    </row>
    <row r="370" customFormat="false" ht="15" hidden="false" customHeight="true" outlineLevel="0" collapsed="false">
      <c r="A370" s="6" t="s">
        <v>1439</v>
      </c>
      <c r="B370" s="6" t="s">
        <v>1440</v>
      </c>
      <c r="C370" s="6" t="s">
        <v>1434</v>
      </c>
      <c r="D370" s="6" t="s">
        <v>1330</v>
      </c>
      <c r="E370" s="6" t="s">
        <v>1425</v>
      </c>
      <c r="F370" s="6" t="n">
        <v>1</v>
      </c>
      <c r="G370" s="6"/>
    </row>
    <row r="371" customFormat="false" ht="23.25" hidden="false" customHeight="true" outlineLevel="0" collapsed="false">
      <c r="A371" s="6" t="s">
        <v>1441</v>
      </c>
      <c r="B371" s="6" t="s">
        <v>1442</v>
      </c>
      <c r="C371" s="6" t="s">
        <v>1434</v>
      </c>
      <c r="D371" s="6" t="s">
        <v>1330</v>
      </c>
      <c r="E371" s="6" t="s">
        <v>1425</v>
      </c>
      <c r="F371" s="6" t="n">
        <v>5</v>
      </c>
      <c r="G371" s="6"/>
    </row>
    <row r="372" customFormat="false" ht="23.25" hidden="false" customHeight="true" outlineLevel="0" collapsed="false">
      <c r="A372" s="6" t="s">
        <v>1443</v>
      </c>
      <c r="B372" s="6" t="s">
        <v>1444</v>
      </c>
      <c r="C372" s="6" t="s">
        <v>1445</v>
      </c>
      <c r="D372" s="6" t="s">
        <v>1330</v>
      </c>
      <c r="E372" s="6" t="s">
        <v>1425</v>
      </c>
      <c r="F372" s="6" t="n">
        <v>1</v>
      </c>
      <c r="G372" s="6"/>
    </row>
    <row r="373" customFormat="false" ht="23.25" hidden="false" customHeight="true" outlineLevel="0" collapsed="false">
      <c r="A373" s="6" t="s">
        <v>1446</v>
      </c>
      <c r="B373" s="6" t="s">
        <v>1447</v>
      </c>
      <c r="C373" s="6" t="s">
        <v>1445</v>
      </c>
      <c r="D373" s="6" t="s">
        <v>1330</v>
      </c>
      <c r="E373" s="6" t="s">
        <v>1425</v>
      </c>
      <c r="F373" s="6" t="n">
        <v>1</v>
      </c>
      <c r="G373" s="6"/>
    </row>
    <row r="374" customFormat="false" ht="23.25" hidden="false" customHeight="true" outlineLevel="0" collapsed="false">
      <c r="A374" s="6" t="s">
        <v>1448</v>
      </c>
      <c r="B374" s="6" t="s">
        <v>1449</v>
      </c>
      <c r="C374" s="6" t="s">
        <v>1445</v>
      </c>
      <c r="D374" s="6" t="s">
        <v>1330</v>
      </c>
      <c r="E374" s="6" t="s">
        <v>1425</v>
      </c>
      <c r="F374" s="6" t="n">
        <v>1</v>
      </c>
      <c r="G374" s="6"/>
    </row>
    <row r="375" customFormat="false" ht="15" hidden="false" customHeight="true" outlineLevel="0" collapsed="false">
      <c r="A375" s="6" t="s">
        <v>1450</v>
      </c>
      <c r="B375" s="6" t="s">
        <v>1451</v>
      </c>
      <c r="C375" s="6" t="s">
        <v>1445</v>
      </c>
      <c r="D375" s="6" t="s">
        <v>1330</v>
      </c>
      <c r="E375" s="6" t="s">
        <v>1425</v>
      </c>
      <c r="F375" s="6" t="n">
        <v>1</v>
      </c>
      <c r="G375" s="6"/>
    </row>
    <row r="376" customFormat="false" ht="15" hidden="false" customHeight="true" outlineLevel="0" collapsed="false">
      <c r="A376" s="6" t="s">
        <v>1452</v>
      </c>
      <c r="B376" s="6" t="s">
        <v>1453</v>
      </c>
      <c r="C376" s="6" t="s">
        <v>1445</v>
      </c>
      <c r="D376" s="6" t="s">
        <v>1330</v>
      </c>
      <c r="E376" s="6" t="s">
        <v>1425</v>
      </c>
      <c r="F376" s="6" t="n">
        <v>1</v>
      </c>
      <c r="G376" s="6"/>
    </row>
    <row r="377" customFormat="false" ht="15" hidden="false" customHeight="true" outlineLevel="0" collapsed="false">
      <c r="A377" s="6" t="s">
        <v>1454</v>
      </c>
      <c r="B377" s="6" t="s">
        <v>1455</v>
      </c>
      <c r="C377" s="6" t="s">
        <v>1445</v>
      </c>
      <c r="D377" s="6" t="s">
        <v>1330</v>
      </c>
      <c r="E377" s="6" t="s">
        <v>1425</v>
      </c>
      <c r="F377" s="6" t="n">
        <v>1</v>
      </c>
      <c r="G377" s="6"/>
    </row>
    <row r="378" customFormat="false" ht="23.25" hidden="false" customHeight="true" outlineLevel="0" collapsed="false">
      <c r="A378" s="6" t="s">
        <v>1456</v>
      </c>
      <c r="B378" s="6" t="s">
        <v>1457</v>
      </c>
      <c r="C378" s="6" t="s">
        <v>1445</v>
      </c>
      <c r="D378" s="6" t="s">
        <v>1330</v>
      </c>
      <c r="E378" s="6" t="s">
        <v>1425</v>
      </c>
      <c r="F378" s="6" t="n">
        <v>1</v>
      </c>
      <c r="G378" s="6"/>
    </row>
    <row r="379" customFormat="false" ht="23.25" hidden="false" customHeight="true" outlineLevel="0" collapsed="false">
      <c r="A379" s="6" t="s">
        <v>1458</v>
      </c>
      <c r="B379" s="6" t="s">
        <v>1459</v>
      </c>
      <c r="C379" s="6" t="s">
        <v>1445</v>
      </c>
      <c r="D379" s="6" t="s">
        <v>1330</v>
      </c>
      <c r="E379" s="6" t="s">
        <v>1425</v>
      </c>
      <c r="F379" s="6" t="n">
        <v>1</v>
      </c>
      <c r="G379" s="6"/>
    </row>
    <row r="380" customFormat="false" ht="15" hidden="false" customHeight="true" outlineLevel="0" collapsed="false">
      <c r="A380" s="6" t="s">
        <v>1460</v>
      </c>
      <c r="B380" s="6" t="s">
        <v>1461</v>
      </c>
      <c r="C380" s="6" t="s">
        <v>1445</v>
      </c>
      <c r="D380" s="6" t="s">
        <v>1330</v>
      </c>
      <c r="E380" s="6" t="s">
        <v>1425</v>
      </c>
      <c r="F380" s="6" t="n">
        <v>1</v>
      </c>
      <c r="G380" s="6"/>
    </row>
    <row r="381" customFormat="false" ht="15" hidden="false" customHeight="true" outlineLevel="0" collapsed="false">
      <c r="A381" s="6" t="s">
        <v>1462</v>
      </c>
      <c r="B381" s="6" t="s">
        <v>1463</v>
      </c>
      <c r="C381" s="6" t="s">
        <v>1445</v>
      </c>
      <c r="D381" s="6" t="s">
        <v>1330</v>
      </c>
      <c r="E381" s="6" t="s">
        <v>1425</v>
      </c>
      <c r="F381" s="6" t="n">
        <v>1</v>
      </c>
      <c r="G381" s="6"/>
    </row>
    <row r="382" customFormat="false" ht="15" hidden="false" customHeight="true" outlineLevel="0" collapsed="false">
      <c r="A382" s="6" t="s">
        <v>1464</v>
      </c>
      <c r="B382" s="6" t="s">
        <v>1465</v>
      </c>
      <c r="C382" s="6" t="s">
        <v>1445</v>
      </c>
      <c r="D382" s="6" t="s">
        <v>1330</v>
      </c>
      <c r="E382" s="6" t="s">
        <v>1425</v>
      </c>
      <c r="F382" s="6" t="n">
        <v>1</v>
      </c>
      <c r="G382" s="6"/>
    </row>
    <row r="383" customFormat="false" ht="15" hidden="false" customHeight="true" outlineLevel="0" collapsed="false">
      <c r="A383" s="6" t="s">
        <v>1466</v>
      </c>
      <c r="B383" s="6" t="s">
        <v>1467</v>
      </c>
      <c r="C383" s="6" t="s">
        <v>1445</v>
      </c>
      <c r="D383" s="6" t="s">
        <v>1330</v>
      </c>
      <c r="E383" s="6" t="s">
        <v>1425</v>
      </c>
      <c r="F383" s="6" t="n">
        <v>3</v>
      </c>
      <c r="G383" s="6"/>
    </row>
    <row r="384" customFormat="false" ht="15" hidden="false" customHeight="true" outlineLevel="0" collapsed="false">
      <c r="A384" s="6" t="s">
        <v>1468</v>
      </c>
      <c r="B384" s="6" t="s">
        <v>1469</v>
      </c>
      <c r="C384" s="6" t="s">
        <v>1445</v>
      </c>
      <c r="D384" s="6" t="s">
        <v>1330</v>
      </c>
      <c r="E384" s="6" t="s">
        <v>1425</v>
      </c>
      <c r="F384" s="6" t="n">
        <v>1</v>
      </c>
      <c r="G384" s="6"/>
    </row>
    <row r="385" customFormat="false" ht="23.25" hidden="false" customHeight="true" outlineLevel="0" collapsed="false">
      <c r="A385" s="6" t="s">
        <v>1470</v>
      </c>
      <c r="B385" s="6" t="s">
        <v>1471</v>
      </c>
      <c r="C385" s="6" t="s">
        <v>1472</v>
      </c>
      <c r="D385" s="6" t="s">
        <v>1330</v>
      </c>
      <c r="E385" s="6" t="s">
        <v>1002</v>
      </c>
      <c r="F385" s="6" t="n">
        <v>22</v>
      </c>
      <c r="G385" s="6"/>
    </row>
    <row r="386" customFormat="false" ht="23.25" hidden="false" customHeight="true" outlineLevel="0" collapsed="false">
      <c r="A386" s="6" t="s">
        <v>1473</v>
      </c>
      <c r="B386" s="6" t="s">
        <v>1474</v>
      </c>
      <c r="C386" s="6" t="s">
        <v>1472</v>
      </c>
      <c r="D386" s="6" t="s">
        <v>1330</v>
      </c>
      <c r="E386" s="6" t="s">
        <v>1002</v>
      </c>
      <c r="F386" s="6" t="n">
        <v>22</v>
      </c>
      <c r="G386" s="6"/>
    </row>
    <row r="387" customFormat="false" ht="23.25" hidden="false" customHeight="true" outlineLevel="0" collapsed="false">
      <c r="A387" s="6" t="s">
        <v>1475</v>
      </c>
      <c r="B387" s="6" t="s">
        <v>1476</v>
      </c>
      <c r="C387" s="6" t="s">
        <v>1472</v>
      </c>
      <c r="D387" s="6" t="s">
        <v>1330</v>
      </c>
      <c r="E387" s="6" t="s">
        <v>1002</v>
      </c>
      <c r="F387" s="6" t="n">
        <v>1</v>
      </c>
      <c r="G387" s="6"/>
    </row>
    <row r="388" customFormat="false" ht="15" hidden="false" customHeight="true" outlineLevel="0" collapsed="false">
      <c r="A388" s="6" t="s">
        <v>1477</v>
      </c>
      <c r="B388" s="6" t="s">
        <v>1478</v>
      </c>
      <c r="C388" s="6" t="s">
        <v>1472</v>
      </c>
      <c r="D388" s="6" t="s">
        <v>1330</v>
      </c>
      <c r="E388" s="6" t="s">
        <v>1002</v>
      </c>
      <c r="F388" s="6" t="n">
        <v>3</v>
      </c>
      <c r="G388" s="6"/>
    </row>
    <row r="389" customFormat="false" ht="15" hidden="false" customHeight="true" outlineLevel="0" collapsed="false">
      <c r="A389" s="6" t="s">
        <v>1479</v>
      </c>
      <c r="B389" s="6" t="s">
        <v>1480</v>
      </c>
      <c r="C389" s="6" t="s">
        <v>1472</v>
      </c>
      <c r="D389" s="6" t="s">
        <v>1330</v>
      </c>
      <c r="E389" s="6" t="s">
        <v>1002</v>
      </c>
      <c r="F389" s="6" t="n">
        <v>1</v>
      </c>
      <c r="G389" s="6"/>
    </row>
    <row r="390" customFormat="false" ht="23.25" hidden="false" customHeight="true" outlineLevel="0" collapsed="false">
      <c r="A390" s="6" t="s">
        <v>1481</v>
      </c>
      <c r="B390" s="6" t="s">
        <v>1482</v>
      </c>
      <c r="C390" s="6" t="s">
        <v>1472</v>
      </c>
      <c r="D390" s="6" t="s">
        <v>1330</v>
      </c>
      <c r="E390" s="6" t="s">
        <v>1002</v>
      </c>
      <c r="F390" s="6" t="n">
        <v>1</v>
      </c>
      <c r="G390" s="6"/>
    </row>
    <row r="391" customFormat="false" ht="15" hidden="false" customHeight="true" outlineLevel="0" collapsed="false">
      <c r="A391" s="6" t="s">
        <v>1483</v>
      </c>
      <c r="B391" s="6" t="s">
        <v>1484</v>
      </c>
      <c r="C391" s="6" t="s">
        <v>1472</v>
      </c>
      <c r="D391" s="6" t="s">
        <v>1330</v>
      </c>
      <c r="E391" s="6" t="s">
        <v>1002</v>
      </c>
      <c r="F391" s="6" t="n">
        <v>1</v>
      </c>
      <c r="G391" s="6"/>
    </row>
    <row r="392" customFormat="false" ht="15" hidden="false" customHeight="true" outlineLevel="0" collapsed="false">
      <c r="A392" s="6" t="s">
        <v>1485</v>
      </c>
      <c r="B392" s="6" t="s">
        <v>1486</v>
      </c>
      <c r="C392" s="6" t="s">
        <v>1472</v>
      </c>
      <c r="D392" s="6" t="s">
        <v>1330</v>
      </c>
      <c r="E392" s="6" t="s">
        <v>1002</v>
      </c>
      <c r="F392" s="6" t="n">
        <v>1</v>
      </c>
      <c r="G392" s="6"/>
    </row>
    <row r="393" customFormat="false" ht="23.25" hidden="false" customHeight="true" outlineLevel="0" collapsed="false">
      <c r="A393" s="6" t="s">
        <v>1487</v>
      </c>
      <c r="B393" s="6" t="s">
        <v>1488</v>
      </c>
      <c r="C393" s="6" t="s">
        <v>1472</v>
      </c>
      <c r="D393" s="6" t="s">
        <v>1330</v>
      </c>
      <c r="E393" s="6" t="s">
        <v>1002</v>
      </c>
      <c r="F393" s="6" t="n">
        <v>9</v>
      </c>
      <c r="G393" s="6"/>
    </row>
    <row r="394" customFormat="false" ht="23.25" hidden="false" customHeight="true" outlineLevel="0" collapsed="false">
      <c r="A394" s="6" t="s">
        <v>1489</v>
      </c>
      <c r="B394" s="6" t="s">
        <v>1490</v>
      </c>
      <c r="C394" s="6" t="s">
        <v>1472</v>
      </c>
      <c r="D394" s="6" t="s">
        <v>1330</v>
      </c>
      <c r="E394" s="6" t="s">
        <v>1002</v>
      </c>
      <c r="F394" s="6" t="n">
        <v>4</v>
      </c>
      <c r="G394" s="6"/>
    </row>
    <row r="395" customFormat="false" ht="15" hidden="false" customHeight="true" outlineLevel="0" collapsed="false">
      <c r="A395" s="6" t="s">
        <v>1491</v>
      </c>
      <c r="B395" s="6" t="s">
        <v>1492</v>
      </c>
      <c r="C395" s="6" t="s">
        <v>1472</v>
      </c>
      <c r="D395" s="6" t="s">
        <v>1330</v>
      </c>
      <c r="E395" s="6" t="s">
        <v>1002</v>
      </c>
      <c r="F395" s="6" t="n">
        <v>1</v>
      </c>
      <c r="G395" s="6"/>
    </row>
    <row r="396" customFormat="false" ht="23.25" hidden="false" customHeight="true" outlineLevel="0" collapsed="false">
      <c r="A396" s="6" t="s">
        <v>1493</v>
      </c>
      <c r="B396" s="6" t="s">
        <v>1494</v>
      </c>
      <c r="C396" s="6" t="s">
        <v>1472</v>
      </c>
      <c r="D396" s="6" t="s">
        <v>1330</v>
      </c>
      <c r="E396" s="6" t="s">
        <v>1002</v>
      </c>
      <c r="F396" s="6" t="n">
        <v>1</v>
      </c>
      <c r="G396" s="6" t="s">
        <v>1398</v>
      </c>
    </row>
    <row r="397" customFormat="false" ht="23.25" hidden="false" customHeight="true" outlineLevel="0" collapsed="false">
      <c r="A397" s="6" t="s">
        <v>1495</v>
      </c>
      <c r="B397" s="6" t="s">
        <v>1496</v>
      </c>
      <c r="C397" s="6" t="s">
        <v>1472</v>
      </c>
      <c r="D397" s="6" t="s">
        <v>1330</v>
      </c>
      <c r="E397" s="6" t="s">
        <v>1002</v>
      </c>
      <c r="F397" s="6" t="n">
        <v>1</v>
      </c>
      <c r="G397" s="6" t="s">
        <v>1398</v>
      </c>
    </row>
    <row r="398" customFormat="false" ht="23.25" hidden="false" customHeight="true" outlineLevel="0" collapsed="false">
      <c r="A398" s="6" t="s">
        <v>1497</v>
      </c>
      <c r="B398" s="6" t="s">
        <v>1498</v>
      </c>
      <c r="C398" s="6" t="s">
        <v>1472</v>
      </c>
      <c r="D398" s="6" t="s">
        <v>1330</v>
      </c>
      <c r="E398" s="6" t="s">
        <v>1002</v>
      </c>
      <c r="F398" s="6" t="n">
        <v>1</v>
      </c>
      <c r="G398" s="6" t="s">
        <v>897</v>
      </c>
    </row>
    <row r="399" customFormat="false" ht="15" hidden="false" customHeight="false" outlineLevel="0" collapsed="false">
      <c r="A399" s="1" t="s">
        <v>1499</v>
      </c>
      <c r="B399" s="1" t="s">
        <v>1500</v>
      </c>
      <c r="C399" s="1" t="s">
        <v>1501</v>
      </c>
      <c r="D399" s="1" t="s">
        <v>1330</v>
      </c>
      <c r="E399" s="1" t="s">
        <v>652</v>
      </c>
      <c r="F399" s="1" t="n">
        <v>1</v>
      </c>
      <c r="G399" s="1" t="s">
        <v>1502</v>
      </c>
    </row>
    <row r="400" customFormat="false" ht="15" hidden="false" customHeight="false" outlineLevel="0" collapsed="false">
      <c r="A400" s="1" t="s">
        <v>1503</v>
      </c>
      <c r="B400" s="1" t="s">
        <v>1504</v>
      </c>
      <c r="C400" s="1" t="s">
        <v>1501</v>
      </c>
      <c r="D400" s="1" t="s">
        <v>1330</v>
      </c>
      <c r="E400" s="1" t="s">
        <v>652</v>
      </c>
      <c r="F400" s="1" t="n">
        <v>1</v>
      </c>
      <c r="G400" s="1" t="s">
        <v>1502</v>
      </c>
    </row>
    <row r="401" customFormat="false" ht="15" hidden="false" customHeight="false" outlineLevel="0" collapsed="false">
      <c r="A401" s="1" t="s">
        <v>1505</v>
      </c>
      <c r="B401" s="1" t="s">
        <v>1506</v>
      </c>
      <c r="C401" s="1" t="s">
        <v>1501</v>
      </c>
      <c r="D401" s="1" t="s">
        <v>1330</v>
      </c>
      <c r="E401" s="1" t="s">
        <v>652</v>
      </c>
      <c r="F401" s="1" t="n">
        <v>1</v>
      </c>
      <c r="G401" s="1" t="s">
        <v>1502</v>
      </c>
    </row>
    <row r="402" customFormat="false" ht="15" hidden="false" customHeight="false" outlineLevel="0" collapsed="false">
      <c r="A402" s="1" t="s">
        <v>1507</v>
      </c>
      <c r="B402" s="1" t="s">
        <v>1508</v>
      </c>
      <c r="C402" s="1" t="s">
        <v>1501</v>
      </c>
      <c r="D402" s="1" t="s">
        <v>1330</v>
      </c>
      <c r="E402" s="1" t="s">
        <v>652</v>
      </c>
      <c r="F402" s="1" t="n">
        <v>1</v>
      </c>
    </row>
    <row r="403" customFormat="false" ht="15" hidden="false" customHeight="false" outlineLevel="0" collapsed="false">
      <c r="A403" s="1" t="s">
        <v>1509</v>
      </c>
      <c r="B403" s="1" t="s">
        <v>1510</v>
      </c>
      <c r="C403" s="1" t="s">
        <v>1501</v>
      </c>
      <c r="D403" s="1" t="s">
        <v>651</v>
      </c>
      <c r="E403" s="1" t="s">
        <v>652</v>
      </c>
      <c r="F403" s="1" t="n">
        <v>1</v>
      </c>
      <c r="G403" s="1" t="s">
        <v>1511</v>
      </c>
    </row>
    <row r="404" customFormat="false" ht="15" hidden="false" customHeight="false" outlineLevel="0" collapsed="false">
      <c r="A404" s="1" t="s">
        <v>1512</v>
      </c>
      <c r="B404" s="1" t="s">
        <v>1513</v>
      </c>
      <c r="C404" s="1" t="s">
        <v>1501</v>
      </c>
      <c r="D404" s="1" t="s">
        <v>651</v>
      </c>
      <c r="E404" s="1" t="s">
        <v>652</v>
      </c>
      <c r="F404" s="1" t="n">
        <v>1</v>
      </c>
      <c r="G404" s="1" t="s">
        <v>1511</v>
      </c>
    </row>
    <row r="405" customFormat="false" ht="15" hidden="false" customHeight="false" outlineLevel="0" collapsed="false">
      <c r="A405" s="1" t="s">
        <v>1514</v>
      </c>
      <c r="B405" s="1" t="s">
        <v>1515</v>
      </c>
      <c r="C405" s="1" t="s">
        <v>1501</v>
      </c>
      <c r="D405" s="1" t="s">
        <v>651</v>
      </c>
      <c r="E405" s="1" t="s">
        <v>652</v>
      </c>
      <c r="F405" s="1" t="n">
        <v>1</v>
      </c>
      <c r="G405" s="1" t="s">
        <v>1511</v>
      </c>
    </row>
    <row r="406" customFormat="false" ht="15" hidden="false" customHeight="false" outlineLevel="0" collapsed="false">
      <c r="A406" s="1" t="s">
        <v>1516</v>
      </c>
      <c r="B406" s="1" t="s">
        <v>1517</v>
      </c>
      <c r="C406" s="1" t="s">
        <v>1501</v>
      </c>
      <c r="D406" s="1" t="s">
        <v>651</v>
      </c>
      <c r="E406" s="1" t="s">
        <v>652</v>
      </c>
      <c r="F406" s="1" t="n">
        <v>1</v>
      </c>
    </row>
    <row r="407" customFormat="false" ht="15" hidden="false" customHeight="false" outlineLevel="0" collapsed="false">
      <c r="A407" s="1" t="s">
        <v>1518</v>
      </c>
      <c r="B407" s="1" t="s">
        <v>1519</v>
      </c>
      <c r="C407" s="1" t="s">
        <v>1501</v>
      </c>
      <c r="D407" s="1" t="s">
        <v>994</v>
      </c>
      <c r="E407" s="1" t="s">
        <v>652</v>
      </c>
      <c r="F407" s="1" t="n">
        <v>1</v>
      </c>
    </row>
    <row r="408" customFormat="false" ht="15" hidden="false" customHeight="false" outlineLevel="0" collapsed="false">
      <c r="A408" s="1" t="s">
        <v>1520</v>
      </c>
      <c r="B408" s="1" t="s">
        <v>1521</v>
      </c>
      <c r="C408" s="1" t="s">
        <v>1501</v>
      </c>
      <c r="D408" s="1" t="s">
        <v>994</v>
      </c>
      <c r="E408" s="1" t="s">
        <v>652</v>
      </c>
      <c r="F408" s="1" t="n">
        <v>1</v>
      </c>
    </row>
    <row r="409" customFormat="false" ht="15" hidden="false" customHeight="false" outlineLevel="0" collapsed="false">
      <c r="A409" s="1" t="s">
        <v>1522</v>
      </c>
      <c r="B409" s="1" t="s">
        <v>1523</v>
      </c>
      <c r="C409" s="1" t="s">
        <v>1501</v>
      </c>
      <c r="D409" s="1" t="s">
        <v>823</v>
      </c>
      <c r="E409" s="1" t="s">
        <v>652</v>
      </c>
      <c r="F409" s="1" t="n">
        <v>1</v>
      </c>
    </row>
    <row r="410" customFormat="false" ht="15" hidden="false" customHeight="false" outlineLevel="0" collapsed="false">
      <c r="A410" s="1" t="s">
        <v>1524</v>
      </c>
      <c r="B410" s="1" t="s">
        <v>1525</v>
      </c>
      <c r="C410" s="1" t="s">
        <v>1501</v>
      </c>
      <c r="D410" s="1" t="s">
        <v>823</v>
      </c>
      <c r="E410" s="1" t="s">
        <v>652</v>
      </c>
      <c r="F410" s="1" t="n">
        <v>1</v>
      </c>
    </row>
    <row r="411" customFormat="false" ht="15" hidden="false" customHeight="false" outlineLevel="0" collapsed="false">
      <c r="A411" s="1" t="s">
        <v>1526</v>
      </c>
      <c r="B411" s="1" t="s">
        <v>1527</v>
      </c>
      <c r="C411" s="1" t="s">
        <v>1501</v>
      </c>
      <c r="D411" s="1" t="s">
        <v>823</v>
      </c>
      <c r="E411" s="1" t="s">
        <v>652</v>
      </c>
      <c r="F411" s="1" t="n">
        <v>1</v>
      </c>
    </row>
    <row r="412" customFormat="false" ht="15" hidden="false" customHeight="false" outlineLevel="0" collapsed="false">
      <c r="A412" s="1" t="s">
        <v>1528</v>
      </c>
      <c r="B412" s="1" t="s">
        <v>1529</v>
      </c>
      <c r="C412" s="1" t="s">
        <v>1530</v>
      </c>
      <c r="D412" s="1" t="s">
        <v>994</v>
      </c>
      <c r="E412" s="1" t="s">
        <v>1002</v>
      </c>
      <c r="F412" s="1" t="n">
        <v>1</v>
      </c>
    </row>
    <row r="413" customFormat="false" ht="15" hidden="false" customHeight="false" outlineLevel="0" collapsed="false">
      <c r="A413" s="1" t="s">
        <v>1531</v>
      </c>
      <c r="B413" s="1" t="s">
        <v>1532</v>
      </c>
      <c r="C413" s="1" t="s">
        <v>1530</v>
      </c>
      <c r="D413" s="1" t="s">
        <v>994</v>
      </c>
      <c r="E413" s="1" t="s">
        <v>1002</v>
      </c>
      <c r="F413" s="1" t="n">
        <v>1</v>
      </c>
    </row>
    <row r="414" customFormat="false" ht="15" hidden="false" customHeight="false" outlineLevel="0" collapsed="false">
      <c r="A414" s="1" t="s">
        <v>1533</v>
      </c>
      <c r="B414" s="1" t="s">
        <v>1534</v>
      </c>
      <c r="C414" s="1" t="s">
        <v>1530</v>
      </c>
      <c r="D414" s="1" t="s">
        <v>994</v>
      </c>
      <c r="E414" s="1" t="s">
        <v>1002</v>
      </c>
      <c r="F414" s="1" t="n">
        <v>1</v>
      </c>
    </row>
    <row r="415" customFormat="false" ht="15" hidden="false" customHeight="false" outlineLevel="0" collapsed="false">
      <c r="A415" s="1" t="s">
        <v>1535</v>
      </c>
      <c r="B415" s="1" t="s">
        <v>1536</v>
      </c>
      <c r="C415" s="1" t="s">
        <v>1530</v>
      </c>
      <c r="D415" s="1" t="s">
        <v>994</v>
      </c>
      <c r="E415" s="1" t="s">
        <v>1002</v>
      </c>
      <c r="F415" s="1" t="n">
        <v>1</v>
      </c>
    </row>
    <row r="416" customFormat="false" ht="15" hidden="false" customHeight="false" outlineLevel="0" collapsed="false">
      <c r="A416" s="1" t="s">
        <v>1537</v>
      </c>
      <c r="B416" s="1" t="s">
        <v>1538</v>
      </c>
      <c r="C416" s="1" t="s">
        <v>1530</v>
      </c>
      <c r="D416" s="1" t="s">
        <v>994</v>
      </c>
      <c r="E416" s="1" t="s">
        <v>1002</v>
      </c>
      <c r="F416" s="1" t="n">
        <v>1</v>
      </c>
    </row>
    <row r="417" customFormat="false" ht="15" hidden="false" customHeight="false" outlineLevel="0" collapsed="false">
      <c r="A417" s="1" t="s">
        <v>1539</v>
      </c>
      <c r="B417" s="1" t="s">
        <v>1540</v>
      </c>
      <c r="C417" s="1" t="s">
        <v>1530</v>
      </c>
      <c r="D417" s="1" t="s">
        <v>994</v>
      </c>
      <c r="E417" s="1" t="s">
        <v>1002</v>
      </c>
      <c r="F417" s="1" t="n">
        <v>1</v>
      </c>
    </row>
    <row r="418" customFormat="false" ht="15" hidden="false" customHeight="false" outlineLevel="0" collapsed="false">
      <c r="A418" s="1" t="s">
        <v>1541</v>
      </c>
      <c r="B418" s="1" t="s">
        <v>1542</v>
      </c>
      <c r="C418" s="1" t="s">
        <v>1530</v>
      </c>
      <c r="D418" s="1" t="s">
        <v>994</v>
      </c>
      <c r="E418" s="1" t="s">
        <v>1002</v>
      </c>
      <c r="F418" s="1" t="n">
        <v>1</v>
      </c>
    </row>
    <row r="419" customFormat="false" ht="15" hidden="false" customHeight="false" outlineLevel="0" collapsed="false">
      <c r="A419" s="1" t="s">
        <v>1543</v>
      </c>
      <c r="B419" s="1" t="s">
        <v>1544</v>
      </c>
      <c r="C419" s="1" t="s">
        <v>1530</v>
      </c>
      <c r="D419" s="1" t="s">
        <v>994</v>
      </c>
      <c r="E419" s="1" t="s">
        <v>1002</v>
      </c>
      <c r="F419" s="1" t="n">
        <v>1</v>
      </c>
    </row>
    <row r="420" customFormat="false" ht="15" hidden="false" customHeight="false" outlineLevel="0" collapsed="false">
      <c r="A420" s="1" t="s">
        <v>1545</v>
      </c>
      <c r="B420" s="1" t="s">
        <v>1546</v>
      </c>
      <c r="C420" s="1" t="s">
        <v>1530</v>
      </c>
      <c r="D420" s="1" t="s">
        <v>994</v>
      </c>
      <c r="E420" s="1" t="s">
        <v>1002</v>
      </c>
      <c r="F420" s="1" t="n">
        <v>1</v>
      </c>
    </row>
    <row r="421" customFormat="false" ht="15" hidden="false" customHeight="false" outlineLevel="0" collapsed="false">
      <c r="A421" s="1" t="s">
        <v>1547</v>
      </c>
      <c r="B421" s="1" t="s">
        <v>1548</v>
      </c>
      <c r="C421" s="1" t="s">
        <v>1530</v>
      </c>
      <c r="D421" s="1" t="s">
        <v>994</v>
      </c>
      <c r="E421" s="1" t="s">
        <v>1002</v>
      </c>
      <c r="F421" s="1" t="n">
        <v>1</v>
      </c>
    </row>
    <row r="422" customFormat="false" ht="15" hidden="false" customHeight="false" outlineLevel="0" collapsed="false">
      <c r="A422" s="1" t="s">
        <v>1549</v>
      </c>
      <c r="B422" s="1" t="s">
        <v>1550</v>
      </c>
      <c r="C422" s="1" t="s">
        <v>1551</v>
      </c>
      <c r="D422" s="1" t="s">
        <v>1552</v>
      </c>
      <c r="E422" s="1" t="s">
        <v>731</v>
      </c>
      <c r="F422" s="1" t="n">
        <v>1</v>
      </c>
    </row>
    <row r="423" customFormat="false" ht="15" hidden="false" customHeight="false" outlineLevel="0" collapsed="false">
      <c r="A423" s="1" t="s">
        <v>1553</v>
      </c>
      <c r="B423" s="1" t="s">
        <v>1554</v>
      </c>
      <c r="C423" s="1" t="s">
        <v>1551</v>
      </c>
      <c r="D423" s="1" t="s">
        <v>1552</v>
      </c>
      <c r="E423" s="1" t="s">
        <v>731</v>
      </c>
      <c r="F423" s="1" t="n">
        <v>1</v>
      </c>
    </row>
    <row r="424" customFormat="false" ht="15" hidden="false" customHeight="false" outlineLevel="0" collapsed="false">
      <c r="A424" s="1" t="s">
        <v>1555</v>
      </c>
      <c r="B424" s="1" t="s">
        <v>1556</v>
      </c>
      <c r="C424" s="1" t="s">
        <v>1551</v>
      </c>
      <c r="D424" s="1" t="s">
        <v>1552</v>
      </c>
      <c r="E424" s="1" t="s">
        <v>731</v>
      </c>
      <c r="F424" s="1" t="n">
        <v>1</v>
      </c>
    </row>
    <row r="425" customFormat="false" ht="15" hidden="false" customHeight="false" outlineLevel="0" collapsed="false">
      <c r="A425" s="1" t="s">
        <v>1557</v>
      </c>
      <c r="B425" s="1" t="s">
        <v>1558</v>
      </c>
      <c r="C425" s="1" t="s">
        <v>1551</v>
      </c>
      <c r="D425" s="1" t="s">
        <v>1552</v>
      </c>
      <c r="E425" s="1" t="s">
        <v>731</v>
      </c>
      <c r="F425" s="1" t="n">
        <v>1</v>
      </c>
    </row>
    <row r="426" customFormat="false" ht="15" hidden="false" customHeight="false" outlineLevel="0" collapsed="false">
      <c r="A426" s="1" t="s">
        <v>1559</v>
      </c>
      <c r="B426" s="1" t="s">
        <v>1560</v>
      </c>
      <c r="C426" s="1" t="s">
        <v>1551</v>
      </c>
      <c r="D426" s="1" t="s">
        <v>1552</v>
      </c>
      <c r="E426" s="1" t="s">
        <v>731</v>
      </c>
      <c r="F426" s="1" t="n">
        <v>1</v>
      </c>
    </row>
    <row r="427" customFormat="false" ht="15" hidden="false" customHeight="false" outlineLevel="0" collapsed="false">
      <c r="A427" s="1" t="s">
        <v>1561</v>
      </c>
      <c r="B427" s="1" t="s">
        <v>1562</v>
      </c>
      <c r="C427" s="1" t="s">
        <v>1551</v>
      </c>
      <c r="D427" s="1" t="s">
        <v>1552</v>
      </c>
      <c r="E427" s="1" t="s">
        <v>731</v>
      </c>
      <c r="F427" s="1" t="n">
        <v>1</v>
      </c>
    </row>
    <row r="428" customFormat="false" ht="15" hidden="false" customHeight="false" outlineLevel="0" collapsed="false">
      <c r="A428" s="1" t="s">
        <v>1563</v>
      </c>
      <c r="B428" s="1" t="s">
        <v>1564</v>
      </c>
      <c r="C428" s="1" t="s">
        <v>1565</v>
      </c>
      <c r="D428" s="1" t="s">
        <v>1552</v>
      </c>
      <c r="E428" s="1" t="s">
        <v>731</v>
      </c>
      <c r="F428" s="1" t="n">
        <v>1</v>
      </c>
    </row>
    <row r="429" customFormat="false" ht="15" hidden="false" customHeight="false" outlineLevel="0" collapsed="false">
      <c r="A429" s="1" t="s">
        <v>1566</v>
      </c>
      <c r="B429" s="1" t="s">
        <v>1567</v>
      </c>
      <c r="C429" s="1" t="s">
        <v>1565</v>
      </c>
      <c r="D429" s="1" t="s">
        <v>1552</v>
      </c>
      <c r="E429" s="1" t="s">
        <v>731</v>
      </c>
      <c r="F429" s="1" t="n">
        <v>1</v>
      </c>
    </row>
    <row r="430" customFormat="false" ht="15" hidden="false" customHeight="false" outlineLevel="0" collapsed="false">
      <c r="A430" s="1" t="s">
        <v>1568</v>
      </c>
      <c r="B430" s="1" t="s">
        <v>1569</v>
      </c>
      <c r="C430" s="1" t="s">
        <v>1565</v>
      </c>
      <c r="D430" s="1" t="s">
        <v>1552</v>
      </c>
      <c r="E430" s="1" t="s">
        <v>731</v>
      </c>
      <c r="F430" s="1" t="n">
        <v>1</v>
      </c>
    </row>
    <row r="431" customFormat="false" ht="15" hidden="false" customHeight="false" outlineLevel="0" collapsed="false">
      <c r="A431" s="1" t="s">
        <v>1570</v>
      </c>
      <c r="B431" s="1" t="s">
        <v>1571</v>
      </c>
      <c r="C431" s="1" t="s">
        <v>1565</v>
      </c>
      <c r="D431" s="1" t="s">
        <v>1552</v>
      </c>
      <c r="E431" s="1" t="s">
        <v>731</v>
      </c>
      <c r="F431" s="1" t="n">
        <v>1</v>
      </c>
    </row>
    <row r="432" customFormat="false" ht="15" hidden="false" customHeight="false" outlineLevel="0" collapsed="false">
      <c r="A432" s="1" t="s">
        <v>1572</v>
      </c>
      <c r="B432" s="1" t="s">
        <v>1573</v>
      </c>
      <c r="C432" s="1" t="s">
        <v>1565</v>
      </c>
      <c r="D432" s="1" t="s">
        <v>1552</v>
      </c>
      <c r="E432" s="1" t="s">
        <v>731</v>
      </c>
      <c r="F432" s="1" t="n">
        <v>1</v>
      </c>
    </row>
    <row r="433" customFormat="false" ht="15" hidden="false" customHeight="false" outlineLevel="0" collapsed="false">
      <c r="A433" s="1" t="s">
        <v>1574</v>
      </c>
      <c r="B433" s="1" t="s">
        <v>1575</v>
      </c>
      <c r="C433" s="1" t="s">
        <v>1565</v>
      </c>
      <c r="D433" s="1" t="s">
        <v>1552</v>
      </c>
      <c r="E433" s="1" t="s">
        <v>731</v>
      </c>
      <c r="F433" s="1" t="n">
        <v>1</v>
      </c>
    </row>
    <row r="434" customFormat="false" ht="15" hidden="false" customHeight="false" outlineLevel="0" collapsed="false">
      <c r="A434" s="1" t="s">
        <v>1576</v>
      </c>
      <c r="B434" s="1" t="s">
        <v>1577</v>
      </c>
      <c r="C434" s="1" t="s">
        <v>1578</v>
      </c>
      <c r="D434" s="1" t="s">
        <v>1552</v>
      </c>
      <c r="E434" s="1" t="s">
        <v>731</v>
      </c>
      <c r="F434" s="1" t="n">
        <v>1</v>
      </c>
    </row>
    <row r="435" customFormat="false" ht="15" hidden="false" customHeight="false" outlineLevel="0" collapsed="false">
      <c r="A435" s="1" t="s">
        <v>1579</v>
      </c>
      <c r="B435" s="1" t="s">
        <v>1580</v>
      </c>
      <c r="C435" s="1" t="s">
        <v>1578</v>
      </c>
      <c r="D435" s="1" t="s">
        <v>1552</v>
      </c>
      <c r="E435" s="1" t="s">
        <v>731</v>
      </c>
      <c r="F435" s="1" t="n">
        <v>1</v>
      </c>
    </row>
    <row r="436" customFormat="false" ht="15" hidden="false" customHeight="false" outlineLevel="0" collapsed="false">
      <c r="A436" s="1" t="s">
        <v>1581</v>
      </c>
      <c r="B436" s="1" t="s">
        <v>1582</v>
      </c>
      <c r="C436" s="1" t="s">
        <v>1578</v>
      </c>
      <c r="D436" s="1" t="s">
        <v>1552</v>
      </c>
      <c r="E436" s="1" t="s">
        <v>731</v>
      </c>
      <c r="F436" s="1" t="n">
        <v>1</v>
      </c>
    </row>
    <row r="437" customFormat="false" ht="15" hidden="false" customHeight="false" outlineLevel="0" collapsed="false">
      <c r="A437" s="1" t="s">
        <v>1583</v>
      </c>
      <c r="B437" s="1" t="s">
        <v>1584</v>
      </c>
      <c r="C437" s="1" t="s">
        <v>1578</v>
      </c>
      <c r="D437" s="1" t="s">
        <v>1552</v>
      </c>
      <c r="E437" s="1" t="s">
        <v>731</v>
      </c>
      <c r="F437" s="1" t="n">
        <v>1</v>
      </c>
    </row>
    <row r="438" customFormat="false" ht="15" hidden="false" customHeight="false" outlineLevel="0" collapsed="false">
      <c r="A438" s="1" t="s">
        <v>1585</v>
      </c>
      <c r="B438" s="1" t="s">
        <v>1586</v>
      </c>
      <c r="C438" s="1" t="s">
        <v>1578</v>
      </c>
      <c r="D438" s="1" t="s">
        <v>1552</v>
      </c>
      <c r="E438" s="1" t="s">
        <v>731</v>
      </c>
      <c r="F438" s="1" t="n">
        <v>1</v>
      </c>
    </row>
    <row r="439" customFormat="false" ht="15" hidden="false" customHeight="false" outlineLevel="0" collapsed="false">
      <c r="A439" s="1" t="s">
        <v>1587</v>
      </c>
      <c r="B439" s="1" t="s">
        <v>1588</v>
      </c>
      <c r="C439" s="1" t="s">
        <v>1578</v>
      </c>
      <c r="D439" s="1" t="s">
        <v>1552</v>
      </c>
      <c r="E439" s="1" t="s">
        <v>731</v>
      </c>
      <c r="F439" s="1" t="n">
        <v>1</v>
      </c>
    </row>
    <row r="440" customFormat="false" ht="15" hidden="false" customHeight="false" outlineLevel="0" collapsed="false">
      <c r="A440" s="1" t="s">
        <v>1589</v>
      </c>
      <c r="B440" s="1" t="s">
        <v>1590</v>
      </c>
      <c r="C440" s="1" t="s">
        <v>1578</v>
      </c>
      <c r="D440" s="1" t="s">
        <v>1552</v>
      </c>
      <c r="E440" s="1" t="s">
        <v>731</v>
      </c>
      <c r="F440" s="1" t="n">
        <v>1</v>
      </c>
    </row>
    <row r="441" customFormat="false" ht="15" hidden="false" customHeight="false" outlineLevel="0" collapsed="false">
      <c r="A441" s="1" t="s">
        <v>1591</v>
      </c>
      <c r="B441" s="1" t="s">
        <v>1592</v>
      </c>
      <c r="C441" s="1" t="s">
        <v>1578</v>
      </c>
      <c r="D441" s="1" t="s">
        <v>1552</v>
      </c>
      <c r="E441" s="1" t="s">
        <v>731</v>
      </c>
      <c r="F441" s="1" t="n">
        <v>1</v>
      </c>
    </row>
    <row r="442" customFormat="false" ht="15" hidden="false" customHeight="false" outlineLevel="0" collapsed="false">
      <c r="A442" s="1" t="s">
        <v>1593</v>
      </c>
      <c r="B442" s="1" t="s">
        <v>1594</v>
      </c>
      <c r="C442" s="1" t="s">
        <v>1578</v>
      </c>
      <c r="D442" s="1" t="s">
        <v>1552</v>
      </c>
      <c r="E442" s="1" t="s">
        <v>731</v>
      </c>
      <c r="F442" s="1" t="n">
        <v>1</v>
      </c>
    </row>
  </sheetData>
  <autoFilter ref="A1:G3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8" min="8" style="0" width="11"/>
  </cols>
  <sheetData>
    <row r="1" customFormat="false" ht="23.25" hidden="false" customHeight="true" outlineLevel="0" collapsed="false">
      <c r="A1" s="5" t="s">
        <v>1595</v>
      </c>
      <c r="B1" s="5" t="s">
        <v>642</v>
      </c>
      <c r="C1" s="5" t="s">
        <v>1596</v>
      </c>
      <c r="D1" s="5" t="s">
        <v>1597</v>
      </c>
      <c r="E1" s="5" t="s">
        <v>1598</v>
      </c>
      <c r="F1" s="5" t="s">
        <v>1599</v>
      </c>
      <c r="G1" s="5" t="s">
        <v>1600</v>
      </c>
      <c r="H1" s="5" t="s">
        <v>1601</v>
      </c>
      <c r="I1" s="5" t="s">
        <v>1602</v>
      </c>
    </row>
    <row r="2" customFormat="false" ht="23.25" hidden="false" customHeight="true" outlineLevel="0" collapsed="false">
      <c r="A2" s="6" t="s">
        <v>1603</v>
      </c>
      <c r="B2" s="6" t="s">
        <v>831</v>
      </c>
      <c r="C2" s="6" t="s">
        <v>832</v>
      </c>
      <c r="D2" s="6" t="s">
        <v>1604</v>
      </c>
      <c r="E2" s="6" t="s">
        <v>1605</v>
      </c>
      <c r="F2" s="6" t="s">
        <v>1606</v>
      </c>
      <c r="G2" s="6" t="s">
        <v>1607</v>
      </c>
      <c r="H2" s="6"/>
      <c r="I2" s="6" t="n">
        <v>1</v>
      </c>
    </row>
    <row r="3" customFormat="false" ht="23.25" hidden="false" customHeight="true" outlineLevel="0" collapsed="false">
      <c r="A3" s="6" t="s">
        <v>1603</v>
      </c>
      <c r="B3" s="6" t="s">
        <v>836</v>
      </c>
      <c r="C3" s="6" t="s">
        <v>837</v>
      </c>
      <c r="D3" s="6" t="s">
        <v>1604</v>
      </c>
      <c r="E3" s="6" t="s">
        <v>1605</v>
      </c>
      <c r="F3" s="6" t="s">
        <v>1606</v>
      </c>
      <c r="G3" s="6" t="s">
        <v>1607</v>
      </c>
      <c r="H3" s="6"/>
      <c r="I3" s="6" t="n">
        <v>0</v>
      </c>
    </row>
    <row r="4" customFormat="false" ht="23.25" hidden="false" customHeight="true" outlineLevel="0" collapsed="false">
      <c r="A4" s="6" t="s">
        <v>1603</v>
      </c>
      <c r="B4" s="6" t="s">
        <v>838</v>
      </c>
      <c r="C4" s="6" t="s">
        <v>839</v>
      </c>
      <c r="D4" s="6" t="s">
        <v>1604</v>
      </c>
      <c r="E4" s="6" t="s">
        <v>1605</v>
      </c>
      <c r="F4" s="6" t="s">
        <v>1606</v>
      </c>
      <c r="G4" s="6" t="s">
        <v>1607</v>
      </c>
      <c r="H4" s="6"/>
      <c r="I4" s="6" t="n">
        <v>0</v>
      </c>
    </row>
    <row r="5" customFormat="false" ht="23.25" hidden="false" customHeight="true" outlineLevel="0" collapsed="false">
      <c r="A5" s="6" t="s">
        <v>1603</v>
      </c>
      <c r="B5" s="6" t="s">
        <v>840</v>
      </c>
      <c r="C5" s="6" t="s">
        <v>841</v>
      </c>
      <c r="D5" s="6" t="s">
        <v>1604</v>
      </c>
      <c r="E5" s="6" t="s">
        <v>1605</v>
      </c>
      <c r="F5" s="6" t="s">
        <v>1606</v>
      </c>
      <c r="G5" s="6" t="s">
        <v>1607</v>
      </c>
      <c r="H5" s="6"/>
      <c r="I5" s="6" t="n">
        <v>1</v>
      </c>
    </row>
    <row r="6" customFormat="false" ht="23.25" hidden="false" customHeight="true" outlineLevel="0" collapsed="false">
      <c r="A6" s="6" t="s">
        <v>1603</v>
      </c>
      <c r="B6" s="6" t="s">
        <v>840</v>
      </c>
      <c r="C6" s="6" t="s">
        <v>1608</v>
      </c>
      <c r="D6" s="6" t="s">
        <v>1604</v>
      </c>
      <c r="E6" s="6" t="s">
        <v>1605</v>
      </c>
      <c r="F6" s="6" t="s">
        <v>1606</v>
      </c>
      <c r="G6" s="6" t="s">
        <v>1607</v>
      </c>
      <c r="H6" s="6"/>
      <c r="I6" s="6" t="n">
        <v>0</v>
      </c>
    </row>
    <row r="7" customFormat="false" ht="23.25" hidden="false" customHeight="true" outlineLevel="0" collapsed="false">
      <c r="A7" s="6" t="s">
        <v>1603</v>
      </c>
      <c r="B7" s="6" t="s">
        <v>840</v>
      </c>
      <c r="C7" s="6" t="s">
        <v>1609</v>
      </c>
      <c r="D7" s="6" t="s">
        <v>1604</v>
      </c>
      <c r="E7" s="6" t="s">
        <v>1605</v>
      </c>
      <c r="F7" s="6" t="s">
        <v>1606</v>
      </c>
      <c r="G7" s="6" t="s">
        <v>1607</v>
      </c>
      <c r="H7" s="6"/>
      <c r="I7" s="6" t="n">
        <v>0</v>
      </c>
    </row>
    <row r="8" customFormat="false" ht="23.25" hidden="false" customHeight="true" outlineLevel="0" collapsed="false">
      <c r="A8" s="6" t="s">
        <v>1603</v>
      </c>
      <c r="B8" s="6" t="s">
        <v>840</v>
      </c>
      <c r="C8" s="6" t="s">
        <v>1610</v>
      </c>
      <c r="D8" s="6" t="s">
        <v>1604</v>
      </c>
      <c r="E8" s="6" t="s">
        <v>1605</v>
      </c>
      <c r="F8" s="6" t="s">
        <v>1606</v>
      </c>
      <c r="G8" s="6" t="s">
        <v>1607</v>
      </c>
      <c r="H8" s="6"/>
      <c r="I8" s="6" t="n">
        <v>0</v>
      </c>
    </row>
    <row r="9" customFormat="false" ht="23.25" hidden="false" customHeight="true" outlineLevel="0" collapsed="false">
      <c r="A9" s="6" t="s">
        <v>1603</v>
      </c>
      <c r="B9" s="6" t="s">
        <v>840</v>
      </c>
      <c r="C9" s="6" t="s">
        <v>1611</v>
      </c>
      <c r="D9" s="6" t="s">
        <v>1604</v>
      </c>
      <c r="E9" s="6" t="s">
        <v>1605</v>
      </c>
      <c r="F9" s="6" t="s">
        <v>1606</v>
      </c>
      <c r="G9" s="6" t="s">
        <v>1607</v>
      </c>
      <c r="H9" s="6"/>
      <c r="I9" s="6" t="n">
        <v>0</v>
      </c>
    </row>
    <row r="10" customFormat="false" ht="23.25" hidden="false" customHeight="true" outlineLevel="0" collapsed="false">
      <c r="A10" s="6" t="s">
        <v>1603</v>
      </c>
      <c r="B10" s="6" t="s">
        <v>840</v>
      </c>
      <c r="C10" s="6" t="s">
        <v>1612</v>
      </c>
      <c r="D10" s="6" t="s">
        <v>1604</v>
      </c>
      <c r="E10" s="6" t="s">
        <v>1605</v>
      </c>
      <c r="F10" s="6" t="s">
        <v>1606</v>
      </c>
      <c r="G10" s="6" t="s">
        <v>1607</v>
      </c>
      <c r="H10" s="6"/>
      <c r="I10" s="6" t="n">
        <v>0</v>
      </c>
    </row>
    <row r="11" customFormat="false" ht="23.25" hidden="false" customHeight="true" outlineLevel="0" collapsed="false">
      <c r="A11" s="6" t="s">
        <v>1603</v>
      </c>
      <c r="B11" s="6" t="s">
        <v>840</v>
      </c>
      <c r="C11" s="6" t="s">
        <v>1613</v>
      </c>
      <c r="D11" s="6" t="s">
        <v>1604</v>
      </c>
      <c r="E11" s="6" t="s">
        <v>1605</v>
      </c>
      <c r="F11" s="6" t="s">
        <v>1606</v>
      </c>
      <c r="G11" s="6" t="s">
        <v>1607</v>
      </c>
      <c r="H11" s="6"/>
      <c r="I11" s="6" t="n">
        <v>0</v>
      </c>
    </row>
    <row r="12" customFormat="false" ht="23.25" hidden="false" customHeight="true" outlineLevel="0" collapsed="false">
      <c r="A12" s="6" t="s">
        <v>1603</v>
      </c>
      <c r="B12" s="6" t="s">
        <v>842</v>
      </c>
      <c r="C12" s="6" t="s">
        <v>843</v>
      </c>
      <c r="D12" s="6" t="s">
        <v>1604</v>
      </c>
      <c r="E12" s="6" t="s">
        <v>1605</v>
      </c>
      <c r="F12" s="6" t="s">
        <v>1606</v>
      </c>
      <c r="G12" s="6" t="s">
        <v>1607</v>
      </c>
      <c r="H12" s="6"/>
      <c r="I12" s="6" t="n">
        <v>0</v>
      </c>
    </row>
    <row r="13" customFormat="false" ht="23.25" hidden="false" customHeight="true" outlineLevel="0" collapsed="false">
      <c r="A13" s="6" t="s">
        <v>1603</v>
      </c>
      <c r="B13" s="6" t="s">
        <v>842</v>
      </c>
      <c r="C13" s="6" t="s">
        <v>1614</v>
      </c>
      <c r="D13" s="6" t="s">
        <v>1604</v>
      </c>
      <c r="E13" s="6" t="s">
        <v>1605</v>
      </c>
      <c r="F13" s="6" t="s">
        <v>1606</v>
      </c>
      <c r="G13" s="6" t="s">
        <v>1607</v>
      </c>
      <c r="H13" s="6"/>
      <c r="I13" s="6" t="n">
        <v>0</v>
      </c>
    </row>
    <row r="14" customFormat="false" ht="23.25" hidden="false" customHeight="true" outlineLevel="0" collapsed="false">
      <c r="A14" s="6" t="s">
        <v>1603</v>
      </c>
      <c r="B14" s="6" t="s">
        <v>842</v>
      </c>
      <c r="C14" s="6" t="s">
        <v>1615</v>
      </c>
      <c r="D14" s="6" t="s">
        <v>1604</v>
      </c>
      <c r="E14" s="6" t="s">
        <v>1605</v>
      </c>
      <c r="F14" s="6" t="s">
        <v>1606</v>
      </c>
      <c r="G14" s="6" t="s">
        <v>1607</v>
      </c>
      <c r="H14" s="6"/>
      <c r="I14" s="6" t="n">
        <v>0</v>
      </c>
    </row>
    <row r="15" customFormat="false" ht="23.25" hidden="false" customHeight="true" outlineLevel="0" collapsed="false">
      <c r="A15" s="6" t="s">
        <v>1603</v>
      </c>
      <c r="B15" s="6" t="s">
        <v>844</v>
      </c>
      <c r="C15" s="6" t="s">
        <v>845</v>
      </c>
      <c r="D15" s="6" t="s">
        <v>1604</v>
      </c>
      <c r="E15" s="6" t="s">
        <v>1605</v>
      </c>
      <c r="F15" s="6" t="s">
        <v>1606</v>
      </c>
      <c r="G15" s="6" t="s">
        <v>1607</v>
      </c>
      <c r="H15" s="6"/>
      <c r="I15" s="6" t="n">
        <v>0</v>
      </c>
    </row>
    <row r="16" customFormat="false" ht="23.25" hidden="false" customHeight="true" outlineLevel="0" collapsed="false">
      <c r="A16" s="6" t="s">
        <v>1603</v>
      </c>
      <c r="B16" s="6" t="s">
        <v>844</v>
      </c>
      <c r="C16" s="6" t="s">
        <v>1616</v>
      </c>
      <c r="D16" s="6" t="s">
        <v>1604</v>
      </c>
      <c r="E16" s="6" t="s">
        <v>1605</v>
      </c>
      <c r="F16" s="6" t="s">
        <v>1606</v>
      </c>
      <c r="G16" s="6" t="s">
        <v>1607</v>
      </c>
      <c r="H16" s="6"/>
      <c r="I16" s="6" t="n">
        <v>0</v>
      </c>
    </row>
    <row r="17" customFormat="false" ht="23.25" hidden="false" customHeight="true" outlineLevel="0" collapsed="false">
      <c r="A17" s="6" t="s">
        <v>1603</v>
      </c>
      <c r="B17" s="6" t="s">
        <v>844</v>
      </c>
      <c r="C17" s="6" t="s">
        <v>1617</v>
      </c>
      <c r="D17" s="6" t="s">
        <v>1604</v>
      </c>
      <c r="E17" s="6" t="s">
        <v>1605</v>
      </c>
      <c r="F17" s="6" t="s">
        <v>1606</v>
      </c>
      <c r="G17" s="6" t="s">
        <v>1607</v>
      </c>
      <c r="H17" s="6"/>
      <c r="I17" s="6" t="n">
        <v>0</v>
      </c>
    </row>
    <row r="18" customFormat="false" ht="23.25" hidden="false" customHeight="true" outlineLevel="0" collapsed="false">
      <c r="A18" s="6" t="s">
        <v>1603</v>
      </c>
      <c r="B18" s="6" t="s">
        <v>844</v>
      </c>
      <c r="C18" s="6" t="s">
        <v>1618</v>
      </c>
      <c r="D18" s="6" t="s">
        <v>1604</v>
      </c>
      <c r="E18" s="6" t="s">
        <v>1605</v>
      </c>
      <c r="F18" s="6" t="s">
        <v>1606</v>
      </c>
      <c r="G18" s="6" t="s">
        <v>1607</v>
      </c>
      <c r="H18" s="6"/>
      <c r="I18" s="6" t="n">
        <v>0</v>
      </c>
    </row>
    <row r="19" customFormat="false" ht="23.25" hidden="false" customHeight="true" outlineLevel="0" collapsed="false">
      <c r="A19" s="6" t="s">
        <v>1603</v>
      </c>
      <c r="B19" s="6" t="s">
        <v>846</v>
      </c>
      <c r="C19" s="6" t="s">
        <v>847</v>
      </c>
      <c r="D19" s="6" t="s">
        <v>1604</v>
      </c>
      <c r="E19" s="6" t="s">
        <v>1605</v>
      </c>
      <c r="F19" s="6" t="s">
        <v>1606</v>
      </c>
      <c r="G19" s="6" t="s">
        <v>1607</v>
      </c>
      <c r="H19" s="6"/>
      <c r="I19" s="6" t="n">
        <v>0</v>
      </c>
    </row>
    <row r="20" customFormat="false" ht="23.25" hidden="false" customHeight="true" outlineLevel="0" collapsed="false">
      <c r="A20" s="6" t="s">
        <v>1603</v>
      </c>
      <c r="B20" s="6" t="s">
        <v>848</v>
      </c>
      <c r="C20" s="6" t="s">
        <v>849</v>
      </c>
      <c r="D20" s="6" t="s">
        <v>1604</v>
      </c>
      <c r="E20" s="6" t="s">
        <v>1605</v>
      </c>
      <c r="F20" s="6" t="s">
        <v>1606</v>
      </c>
      <c r="G20" s="6" t="s">
        <v>1607</v>
      </c>
      <c r="H20" s="6"/>
      <c r="I20" s="6" t="n">
        <v>0</v>
      </c>
    </row>
    <row r="21" customFormat="false" ht="23.25" hidden="false" customHeight="true" outlineLevel="0" collapsed="false">
      <c r="A21" s="6" t="s">
        <v>1603</v>
      </c>
      <c r="B21" s="6" t="s">
        <v>850</v>
      </c>
      <c r="C21" s="6" t="s">
        <v>851</v>
      </c>
      <c r="D21" s="6" t="s">
        <v>1604</v>
      </c>
      <c r="E21" s="6" t="s">
        <v>1605</v>
      </c>
      <c r="F21" s="6" t="s">
        <v>1606</v>
      </c>
      <c r="G21" s="6" t="s">
        <v>1607</v>
      </c>
      <c r="H21" s="6"/>
      <c r="I21" s="6" t="n">
        <v>0</v>
      </c>
    </row>
    <row r="22" customFormat="false" ht="23.25" hidden="false" customHeight="true" outlineLevel="0" collapsed="false">
      <c r="A22" s="6" t="s">
        <v>1603</v>
      </c>
      <c r="B22" s="6" t="s">
        <v>852</v>
      </c>
      <c r="C22" s="6" t="s">
        <v>853</v>
      </c>
      <c r="D22" s="6" t="s">
        <v>1604</v>
      </c>
      <c r="E22" s="6" t="s">
        <v>1605</v>
      </c>
      <c r="F22" s="6" t="s">
        <v>1606</v>
      </c>
      <c r="G22" s="6" t="s">
        <v>1607</v>
      </c>
      <c r="H22" s="6"/>
      <c r="I22" s="6" t="n">
        <v>0</v>
      </c>
    </row>
    <row r="23" customFormat="false" ht="23.25" hidden="false" customHeight="true" outlineLevel="0" collapsed="false">
      <c r="A23" s="6" t="s">
        <v>1603</v>
      </c>
      <c r="B23" s="6" t="s">
        <v>852</v>
      </c>
      <c r="C23" s="6" t="s">
        <v>1619</v>
      </c>
      <c r="D23" s="6" t="s">
        <v>1604</v>
      </c>
      <c r="E23" s="6" t="s">
        <v>1605</v>
      </c>
      <c r="F23" s="6" t="s">
        <v>1606</v>
      </c>
      <c r="G23" s="6" t="s">
        <v>1607</v>
      </c>
      <c r="H23" s="6"/>
      <c r="I23" s="6" t="n">
        <v>0</v>
      </c>
    </row>
    <row r="24" customFormat="false" ht="23.25" hidden="false" customHeight="true" outlineLevel="0" collapsed="false">
      <c r="A24" s="6" t="s">
        <v>1603</v>
      </c>
      <c r="B24" s="6" t="s">
        <v>852</v>
      </c>
      <c r="C24" s="6" t="s">
        <v>1620</v>
      </c>
      <c r="D24" s="6" t="s">
        <v>1604</v>
      </c>
      <c r="E24" s="6" t="s">
        <v>1605</v>
      </c>
      <c r="F24" s="6" t="s">
        <v>1606</v>
      </c>
      <c r="G24" s="6" t="s">
        <v>1607</v>
      </c>
      <c r="H24" s="6"/>
      <c r="I24" s="6" t="n">
        <v>0</v>
      </c>
    </row>
    <row r="25" customFormat="false" ht="23.25" hidden="false" customHeight="true" outlineLevel="0" collapsed="false">
      <c r="A25" s="6" t="s">
        <v>1603</v>
      </c>
      <c r="B25" s="6" t="s">
        <v>854</v>
      </c>
      <c r="C25" s="6" t="s">
        <v>855</v>
      </c>
      <c r="D25" s="6" t="s">
        <v>1604</v>
      </c>
      <c r="E25" s="6" t="s">
        <v>1605</v>
      </c>
      <c r="F25" s="6" t="s">
        <v>1606</v>
      </c>
      <c r="G25" s="6" t="s">
        <v>1607</v>
      </c>
      <c r="H25" s="6"/>
      <c r="I25" s="6" t="n">
        <v>0</v>
      </c>
    </row>
    <row r="26" customFormat="false" ht="23.25" hidden="false" customHeight="true" outlineLevel="0" collapsed="false">
      <c r="A26" s="6" t="s">
        <v>1603</v>
      </c>
      <c r="B26" s="6" t="s">
        <v>856</v>
      </c>
      <c r="C26" s="6" t="s">
        <v>857</v>
      </c>
      <c r="D26" s="6" t="s">
        <v>1604</v>
      </c>
      <c r="E26" s="6" t="s">
        <v>1605</v>
      </c>
      <c r="F26" s="6" t="s">
        <v>1606</v>
      </c>
      <c r="G26" s="6" t="s">
        <v>1607</v>
      </c>
      <c r="H26" s="6"/>
      <c r="I26" s="6" t="n">
        <v>0</v>
      </c>
    </row>
    <row r="27" customFormat="false" ht="23.25" hidden="false" customHeight="true" outlineLevel="0" collapsed="false">
      <c r="A27" s="6" t="s">
        <v>1603</v>
      </c>
      <c r="B27" s="6" t="s">
        <v>856</v>
      </c>
      <c r="C27" s="6" t="s">
        <v>1621</v>
      </c>
      <c r="D27" s="6" t="s">
        <v>1604</v>
      </c>
      <c r="E27" s="6" t="s">
        <v>1605</v>
      </c>
      <c r="F27" s="6" t="s">
        <v>1606</v>
      </c>
      <c r="G27" s="6" t="s">
        <v>1607</v>
      </c>
      <c r="H27" s="6"/>
      <c r="I27" s="6" t="n">
        <v>0</v>
      </c>
    </row>
    <row r="28" customFormat="false" ht="23.25" hidden="false" customHeight="true" outlineLevel="0" collapsed="false">
      <c r="A28" s="6" t="s">
        <v>1603</v>
      </c>
      <c r="B28" s="6" t="s">
        <v>856</v>
      </c>
      <c r="C28" s="6" t="s">
        <v>1622</v>
      </c>
      <c r="D28" s="6" t="s">
        <v>1604</v>
      </c>
      <c r="E28" s="6" t="s">
        <v>1605</v>
      </c>
      <c r="F28" s="6" t="s">
        <v>1606</v>
      </c>
      <c r="G28" s="6" t="s">
        <v>1607</v>
      </c>
      <c r="H28" s="6"/>
      <c r="I28" s="6" t="n">
        <v>0</v>
      </c>
    </row>
    <row r="29" customFormat="false" ht="23.25" hidden="false" customHeight="true" outlineLevel="0" collapsed="false">
      <c r="A29" s="6" t="s">
        <v>1603</v>
      </c>
      <c r="B29" s="6" t="s">
        <v>856</v>
      </c>
      <c r="C29" s="6" t="s">
        <v>1623</v>
      </c>
      <c r="D29" s="6" t="s">
        <v>1604</v>
      </c>
      <c r="E29" s="6" t="s">
        <v>1605</v>
      </c>
      <c r="F29" s="6" t="s">
        <v>1606</v>
      </c>
      <c r="G29" s="6" t="s">
        <v>1607</v>
      </c>
      <c r="H29" s="6"/>
      <c r="I29" s="6" t="n">
        <v>0</v>
      </c>
    </row>
    <row r="30" customFormat="false" ht="23.25" hidden="false" customHeight="true" outlineLevel="0" collapsed="false">
      <c r="A30" s="6" t="s">
        <v>1603</v>
      </c>
      <c r="B30" s="6" t="s">
        <v>858</v>
      </c>
      <c r="C30" s="6" t="s">
        <v>859</v>
      </c>
      <c r="D30" s="6" t="s">
        <v>1604</v>
      </c>
      <c r="E30" s="6" t="s">
        <v>1605</v>
      </c>
      <c r="F30" s="6" t="s">
        <v>1606</v>
      </c>
      <c r="G30" s="6" t="s">
        <v>1607</v>
      </c>
      <c r="H30" s="6"/>
      <c r="I30" s="6" t="n">
        <v>0</v>
      </c>
    </row>
    <row r="31" customFormat="false" ht="23.25" hidden="false" customHeight="true" outlineLevel="0" collapsed="false">
      <c r="A31" s="6" t="s">
        <v>1603</v>
      </c>
      <c r="B31" s="6" t="s">
        <v>860</v>
      </c>
      <c r="C31" s="6" t="s">
        <v>861</v>
      </c>
      <c r="D31" s="6" t="s">
        <v>1604</v>
      </c>
      <c r="E31" s="6" t="s">
        <v>1605</v>
      </c>
      <c r="F31" s="6" t="s">
        <v>1606</v>
      </c>
      <c r="G31" s="6" t="s">
        <v>1607</v>
      </c>
      <c r="H31" s="6"/>
      <c r="I31" s="6" t="n">
        <v>1</v>
      </c>
    </row>
    <row r="32" customFormat="false" ht="23.25" hidden="false" customHeight="true" outlineLevel="0" collapsed="false">
      <c r="A32" s="6" t="s">
        <v>1603</v>
      </c>
      <c r="B32" s="6" t="s">
        <v>862</v>
      </c>
      <c r="C32" s="6" t="s">
        <v>863</v>
      </c>
      <c r="D32" s="6" t="s">
        <v>1604</v>
      </c>
      <c r="E32" s="6" t="s">
        <v>1605</v>
      </c>
      <c r="F32" s="6" t="s">
        <v>1606</v>
      </c>
      <c r="G32" s="6" t="s">
        <v>1607</v>
      </c>
      <c r="H32" s="6"/>
      <c r="I32" s="6" t="n">
        <v>0</v>
      </c>
    </row>
    <row r="33" customFormat="false" ht="23.25" hidden="false" customHeight="true" outlineLevel="0" collapsed="false">
      <c r="A33" s="6" t="s">
        <v>1603</v>
      </c>
      <c r="B33" s="6" t="s">
        <v>862</v>
      </c>
      <c r="C33" s="6" t="s">
        <v>1624</v>
      </c>
      <c r="D33" s="6" t="s">
        <v>1604</v>
      </c>
      <c r="E33" s="6" t="s">
        <v>1605</v>
      </c>
      <c r="F33" s="6" t="s">
        <v>1606</v>
      </c>
      <c r="G33" s="6" t="s">
        <v>1607</v>
      </c>
      <c r="H33" s="6"/>
      <c r="I33" s="6" t="n">
        <v>0</v>
      </c>
    </row>
    <row r="34" customFormat="false" ht="23.25" hidden="false" customHeight="true" outlineLevel="0" collapsed="false">
      <c r="A34" s="6" t="s">
        <v>1603</v>
      </c>
      <c r="B34" s="6" t="s">
        <v>862</v>
      </c>
      <c r="C34" s="6" t="s">
        <v>1625</v>
      </c>
      <c r="D34" s="6" t="s">
        <v>1604</v>
      </c>
      <c r="E34" s="6" t="s">
        <v>1605</v>
      </c>
      <c r="F34" s="6" t="s">
        <v>1606</v>
      </c>
      <c r="G34" s="6" t="s">
        <v>1607</v>
      </c>
      <c r="H34" s="6"/>
      <c r="I34" s="6" t="n">
        <v>0</v>
      </c>
    </row>
    <row r="35" customFormat="false" ht="23.25" hidden="false" customHeight="true" outlineLevel="0" collapsed="false">
      <c r="A35" s="6" t="s">
        <v>1603</v>
      </c>
      <c r="B35" s="6" t="s">
        <v>862</v>
      </c>
      <c r="C35" s="6" t="s">
        <v>1626</v>
      </c>
      <c r="D35" s="6" t="s">
        <v>1604</v>
      </c>
      <c r="E35" s="6" t="s">
        <v>1605</v>
      </c>
      <c r="F35" s="6" t="s">
        <v>1606</v>
      </c>
      <c r="G35" s="6" t="s">
        <v>1607</v>
      </c>
      <c r="H35" s="6"/>
      <c r="I35" s="6" t="n">
        <v>0</v>
      </c>
    </row>
    <row r="36" customFormat="false" ht="23.25" hidden="false" customHeight="true" outlineLevel="0" collapsed="false">
      <c r="A36" s="6" t="s">
        <v>1603</v>
      </c>
      <c r="B36" s="6" t="s">
        <v>862</v>
      </c>
      <c r="C36" s="6" t="s">
        <v>1627</v>
      </c>
      <c r="D36" s="6" t="s">
        <v>1604</v>
      </c>
      <c r="E36" s="6" t="s">
        <v>1605</v>
      </c>
      <c r="F36" s="6" t="s">
        <v>1606</v>
      </c>
      <c r="G36" s="6" t="s">
        <v>1607</v>
      </c>
      <c r="H36" s="6"/>
      <c r="I36" s="6" t="n">
        <v>0</v>
      </c>
    </row>
    <row r="37" customFormat="false" ht="23.25" hidden="false" customHeight="true" outlineLevel="0" collapsed="false">
      <c r="A37" s="6" t="s">
        <v>1603</v>
      </c>
      <c r="B37" s="6" t="s">
        <v>862</v>
      </c>
      <c r="C37" s="6" t="s">
        <v>1628</v>
      </c>
      <c r="D37" s="6" t="s">
        <v>1604</v>
      </c>
      <c r="E37" s="6" t="s">
        <v>1605</v>
      </c>
      <c r="F37" s="6" t="s">
        <v>1606</v>
      </c>
      <c r="G37" s="6" t="s">
        <v>1607</v>
      </c>
      <c r="H37" s="6"/>
      <c r="I37" s="6" t="n">
        <v>0</v>
      </c>
    </row>
    <row r="38" customFormat="false" ht="23.25" hidden="false" customHeight="true" outlineLevel="0" collapsed="false">
      <c r="A38" s="6" t="s">
        <v>1603</v>
      </c>
      <c r="B38" s="6" t="s">
        <v>864</v>
      </c>
      <c r="C38" s="6" t="s">
        <v>865</v>
      </c>
      <c r="D38" s="6" t="s">
        <v>1604</v>
      </c>
      <c r="E38" s="6" t="s">
        <v>1605</v>
      </c>
      <c r="F38" s="6" t="s">
        <v>1606</v>
      </c>
      <c r="G38" s="6" t="s">
        <v>1607</v>
      </c>
      <c r="H38" s="6"/>
      <c r="I38" s="6" t="n">
        <v>0</v>
      </c>
    </row>
    <row r="39" customFormat="false" ht="23.25" hidden="false" customHeight="true" outlineLevel="0" collapsed="false">
      <c r="A39" s="6" t="s">
        <v>1603</v>
      </c>
      <c r="B39" s="6" t="s">
        <v>866</v>
      </c>
      <c r="C39" s="6" t="s">
        <v>867</v>
      </c>
      <c r="D39" s="6" t="s">
        <v>1604</v>
      </c>
      <c r="E39" s="6" t="s">
        <v>1605</v>
      </c>
      <c r="F39" s="6" t="s">
        <v>1606</v>
      </c>
      <c r="G39" s="6" t="s">
        <v>1607</v>
      </c>
      <c r="H39" s="6"/>
      <c r="I39" s="6" t="n">
        <v>0</v>
      </c>
    </row>
    <row r="40" customFormat="false" ht="23.25" hidden="false" customHeight="true" outlineLevel="0" collapsed="false">
      <c r="A40" s="6" t="s">
        <v>1603</v>
      </c>
      <c r="B40" s="6" t="s">
        <v>868</v>
      </c>
      <c r="C40" s="6" t="s">
        <v>869</v>
      </c>
      <c r="D40" s="6" t="s">
        <v>1604</v>
      </c>
      <c r="E40" s="6" t="s">
        <v>1605</v>
      </c>
      <c r="F40" s="6" t="s">
        <v>1606</v>
      </c>
      <c r="G40" s="6" t="s">
        <v>1607</v>
      </c>
      <c r="H40" s="6"/>
      <c r="I40" s="6" t="n">
        <v>0</v>
      </c>
    </row>
    <row r="41" customFormat="false" ht="23.25" hidden="false" customHeight="true" outlineLevel="0" collapsed="false">
      <c r="A41" s="6" t="s">
        <v>1603</v>
      </c>
      <c r="B41" s="6" t="s">
        <v>870</v>
      </c>
      <c r="C41" s="6" t="s">
        <v>871</v>
      </c>
      <c r="D41" s="6" t="s">
        <v>1604</v>
      </c>
      <c r="E41" s="6" t="s">
        <v>1605</v>
      </c>
      <c r="F41" s="6" t="s">
        <v>1606</v>
      </c>
      <c r="G41" s="6" t="s">
        <v>1607</v>
      </c>
      <c r="H41" s="6"/>
      <c r="I41" s="6" t="n">
        <v>0</v>
      </c>
    </row>
    <row r="42" customFormat="false" ht="23.25" hidden="false" customHeight="true" outlineLevel="0" collapsed="false">
      <c r="A42" s="6" t="s">
        <v>1603</v>
      </c>
      <c r="B42" s="6" t="s">
        <v>872</v>
      </c>
      <c r="C42" s="6" t="s">
        <v>873</v>
      </c>
      <c r="D42" s="6" t="s">
        <v>1604</v>
      </c>
      <c r="E42" s="6" t="s">
        <v>1605</v>
      </c>
      <c r="F42" s="6" t="s">
        <v>1606</v>
      </c>
      <c r="G42" s="6" t="s">
        <v>1607</v>
      </c>
      <c r="H42" s="6"/>
      <c r="I42" s="6" t="n">
        <v>0</v>
      </c>
    </row>
    <row r="43" customFormat="false" ht="23.25" hidden="false" customHeight="true" outlineLevel="0" collapsed="false">
      <c r="A43" s="6" t="s">
        <v>1603</v>
      </c>
      <c r="B43" s="6" t="s">
        <v>872</v>
      </c>
      <c r="C43" s="6" t="s">
        <v>1629</v>
      </c>
      <c r="D43" s="6" t="s">
        <v>1604</v>
      </c>
      <c r="E43" s="6" t="s">
        <v>1605</v>
      </c>
      <c r="F43" s="6" t="s">
        <v>1606</v>
      </c>
      <c r="G43" s="6" t="s">
        <v>1607</v>
      </c>
      <c r="H43" s="6"/>
      <c r="I43" s="6" t="n">
        <v>0</v>
      </c>
    </row>
    <row r="44" customFormat="false" ht="23.25" hidden="false" customHeight="true" outlineLevel="0" collapsed="false">
      <c r="A44" s="6" t="s">
        <v>1603</v>
      </c>
      <c r="B44" s="6" t="s">
        <v>872</v>
      </c>
      <c r="C44" s="6" t="s">
        <v>1630</v>
      </c>
      <c r="D44" s="6" t="s">
        <v>1604</v>
      </c>
      <c r="E44" s="6" t="s">
        <v>1605</v>
      </c>
      <c r="F44" s="6" t="s">
        <v>1606</v>
      </c>
      <c r="G44" s="6" t="s">
        <v>1607</v>
      </c>
      <c r="H44" s="6"/>
      <c r="I44" s="6" t="n">
        <v>0</v>
      </c>
    </row>
    <row r="45" customFormat="false" ht="23.25" hidden="false" customHeight="true" outlineLevel="0" collapsed="false">
      <c r="A45" s="6" t="s">
        <v>1603</v>
      </c>
      <c r="B45" s="6" t="s">
        <v>872</v>
      </c>
      <c r="C45" s="6" t="s">
        <v>1631</v>
      </c>
      <c r="D45" s="6" t="s">
        <v>1604</v>
      </c>
      <c r="E45" s="6" t="s">
        <v>1605</v>
      </c>
      <c r="F45" s="6" t="s">
        <v>1606</v>
      </c>
      <c r="G45" s="6" t="s">
        <v>1607</v>
      </c>
      <c r="H45" s="6"/>
      <c r="I45" s="6" t="n">
        <v>0</v>
      </c>
    </row>
    <row r="46" customFormat="false" ht="23.25" hidden="false" customHeight="true" outlineLevel="0" collapsed="false">
      <c r="A46" s="6" t="s">
        <v>1603</v>
      </c>
      <c r="B46" s="6" t="s">
        <v>874</v>
      </c>
      <c r="C46" s="6" t="s">
        <v>875</v>
      </c>
      <c r="D46" s="6" t="s">
        <v>1604</v>
      </c>
      <c r="E46" s="6" t="s">
        <v>1605</v>
      </c>
      <c r="F46" s="6" t="s">
        <v>1606</v>
      </c>
      <c r="G46" s="6" t="s">
        <v>1632</v>
      </c>
      <c r="H46" s="6" t="s">
        <v>876</v>
      </c>
      <c r="I46" s="6" t="n">
        <v>3</v>
      </c>
    </row>
    <row r="47" customFormat="false" ht="23.25" hidden="false" customHeight="true" outlineLevel="0" collapsed="false">
      <c r="A47" s="6" t="s">
        <v>1603</v>
      </c>
      <c r="B47" s="6" t="s">
        <v>1046</v>
      </c>
      <c r="C47" s="6" t="s">
        <v>1047</v>
      </c>
      <c r="D47" s="6" t="s">
        <v>1604</v>
      </c>
      <c r="E47" s="6" t="s">
        <v>1605</v>
      </c>
      <c r="F47" s="6" t="s">
        <v>1606</v>
      </c>
      <c r="G47" s="6" t="s">
        <v>1607</v>
      </c>
      <c r="H47" s="6"/>
      <c r="I47" s="6" t="n">
        <v>2</v>
      </c>
    </row>
    <row r="48" customFormat="false" ht="23.25" hidden="false" customHeight="true" outlineLevel="0" collapsed="false">
      <c r="A48" s="6" t="s">
        <v>1603</v>
      </c>
      <c r="B48" s="6" t="s">
        <v>1050</v>
      </c>
      <c r="C48" s="6" t="s">
        <v>1051</v>
      </c>
      <c r="D48" s="6" t="s">
        <v>1604</v>
      </c>
      <c r="E48" s="6" t="s">
        <v>1605</v>
      </c>
      <c r="F48" s="6" t="s">
        <v>1606</v>
      </c>
      <c r="G48" s="6" t="s">
        <v>1607</v>
      </c>
      <c r="H48" s="6"/>
      <c r="I48" s="6" t="n">
        <v>0</v>
      </c>
    </row>
    <row r="49" customFormat="false" ht="23.25" hidden="false" customHeight="true" outlineLevel="0" collapsed="false">
      <c r="A49" s="6" t="s">
        <v>1603</v>
      </c>
      <c r="B49" s="6" t="s">
        <v>1052</v>
      </c>
      <c r="C49" s="6" t="s">
        <v>1053</v>
      </c>
      <c r="D49" s="6" t="s">
        <v>1604</v>
      </c>
      <c r="E49" s="6" t="s">
        <v>1605</v>
      </c>
      <c r="F49" s="6" t="s">
        <v>1606</v>
      </c>
      <c r="G49" s="6" t="s">
        <v>1607</v>
      </c>
      <c r="H49" s="6"/>
      <c r="I49" s="6" t="n">
        <v>0</v>
      </c>
    </row>
    <row r="50" customFormat="false" ht="23.25" hidden="false" customHeight="true" outlineLevel="0" collapsed="false">
      <c r="A50" s="6" t="s">
        <v>1603</v>
      </c>
      <c r="B50" s="6" t="s">
        <v>1054</v>
      </c>
      <c r="C50" s="6" t="s">
        <v>1055</v>
      </c>
      <c r="D50" s="6" t="s">
        <v>1604</v>
      </c>
      <c r="E50" s="6" t="s">
        <v>1605</v>
      </c>
      <c r="F50" s="6" t="s">
        <v>1606</v>
      </c>
      <c r="G50" s="6" t="s">
        <v>1607</v>
      </c>
      <c r="H50" s="6"/>
      <c r="I50" s="6" t="n">
        <v>0</v>
      </c>
    </row>
    <row r="51" customFormat="false" ht="23.25" hidden="false" customHeight="true" outlineLevel="0" collapsed="false">
      <c r="A51" s="6" t="s">
        <v>1603</v>
      </c>
      <c r="B51" s="6" t="s">
        <v>1056</v>
      </c>
      <c r="C51" s="6" t="s">
        <v>1057</v>
      </c>
      <c r="D51" s="6" t="s">
        <v>1604</v>
      </c>
      <c r="E51" s="6" t="s">
        <v>1605</v>
      </c>
      <c r="F51" s="6" t="s">
        <v>1606</v>
      </c>
      <c r="G51" s="6" t="s">
        <v>1607</v>
      </c>
      <c r="H51" s="6"/>
      <c r="I51" s="6" t="n">
        <v>0</v>
      </c>
    </row>
    <row r="52" customFormat="false" ht="23.25" hidden="false" customHeight="true" outlineLevel="0" collapsed="false">
      <c r="A52" s="6" t="s">
        <v>1603</v>
      </c>
      <c r="B52" s="6" t="s">
        <v>1058</v>
      </c>
      <c r="C52" s="6" t="s">
        <v>1059</v>
      </c>
      <c r="D52" s="6" t="s">
        <v>1604</v>
      </c>
      <c r="E52" s="6" t="s">
        <v>1605</v>
      </c>
      <c r="F52" s="6" t="s">
        <v>1606</v>
      </c>
      <c r="G52" s="6" t="s">
        <v>1607</v>
      </c>
      <c r="H52" s="6"/>
      <c r="I52" s="6" t="n">
        <v>0</v>
      </c>
    </row>
    <row r="53" customFormat="false" ht="23.25" hidden="false" customHeight="true" outlineLevel="0" collapsed="false">
      <c r="A53" s="6" t="s">
        <v>1603</v>
      </c>
      <c r="B53" s="6" t="s">
        <v>1060</v>
      </c>
      <c r="C53" s="6" t="s">
        <v>1061</v>
      </c>
      <c r="D53" s="6" t="s">
        <v>1604</v>
      </c>
      <c r="E53" s="6" t="s">
        <v>1605</v>
      </c>
      <c r="F53" s="6" t="s">
        <v>1606</v>
      </c>
      <c r="G53" s="6" t="s">
        <v>1607</v>
      </c>
      <c r="H53" s="6"/>
      <c r="I53" s="6" t="n">
        <v>1</v>
      </c>
    </row>
    <row r="54" customFormat="false" ht="23.25" hidden="false" customHeight="true" outlineLevel="0" collapsed="false">
      <c r="A54" s="6" t="s">
        <v>1603</v>
      </c>
      <c r="B54" s="6" t="s">
        <v>1060</v>
      </c>
      <c r="C54" s="6" t="s">
        <v>1633</v>
      </c>
      <c r="D54" s="6" t="s">
        <v>1604</v>
      </c>
      <c r="E54" s="6" t="s">
        <v>1605</v>
      </c>
      <c r="F54" s="6" t="s">
        <v>1606</v>
      </c>
      <c r="G54" s="6" t="s">
        <v>1607</v>
      </c>
      <c r="H54" s="6"/>
      <c r="I54" s="6" t="n">
        <v>0</v>
      </c>
    </row>
    <row r="55" customFormat="false" ht="23.25" hidden="false" customHeight="true" outlineLevel="0" collapsed="false">
      <c r="A55" s="6" t="s">
        <v>1603</v>
      </c>
      <c r="B55" s="6" t="s">
        <v>1060</v>
      </c>
      <c r="C55" s="6" t="s">
        <v>1634</v>
      </c>
      <c r="D55" s="6" t="s">
        <v>1604</v>
      </c>
      <c r="E55" s="6" t="s">
        <v>1605</v>
      </c>
      <c r="F55" s="6" t="s">
        <v>1606</v>
      </c>
      <c r="G55" s="6" t="s">
        <v>1607</v>
      </c>
      <c r="H55" s="6"/>
      <c r="I55" s="6" t="n">
        <v>1</v>
      </c>
    </row>
    <row r="56" customFormat="false" ht="23.25" hidden="false" customHeight="true" outlineLevel="0" collapsed="false">
      <c r="A56" s="6" t="s">
        <v>1603</v>
      </c>
      <c r="B56" s="6" t="s">
        <v>1060</v>
      </c>
      <c r="C56" s="6" t="s">
        <v>1635</v>
      </c>
      <c r="D56" s="6" t="s">
        <v>1604</v>
      </c>
      <c r="E56" s="6" t="s">
        <v>1605</v>
      </c>
      <c r="F56" s="6" t="s">
        <v>1606</v>
      </c>
      <c r="G56" s="6" t="s">
        <v>1607</v>
      </c>
      <c r="H56" s="6"/>
      <c r="I56" s="6" t="n">
        <v>0</v>
      </c>
    </row>
    <row r="57" customFormat="false" ht="23.25" hidden="false" customHeight="true" outlineLevel="0" collapsed="false">
      <c r="A57" s="6" t="s">
        <v>1603</v>
      </c>
      <c r="B57" s="6" t="s">
        <v>1060</v>
      </c>
      <c r="C57" s="6" t="s">
        <v>1636</v>
      </c>
      <c r="D57" s="6" t="s">
        <v>1604</v>
      </c>
      <c r="E57" s="6" t="s">
        <v>1605</v>
      </c>
      <c r="F57" s="6" t="s">
        <v>1606</v>
      </c>
      <c r="G57" s="6" t="s">
        <v>1607</v>
      </c>
      <c r="H57" s="6"/>
      <c r="I57" s="6" t="n">
        <v>0</v>
      </c>
    </row>
    <row r="58" customFormat="false" ht="23.25" hidden="false" customHeight="true" outlineLevel="0" collapsed="false">
      <c r="A58" s="6" t="s">
        <v>1603</v>
      </c>
      <c r="B58" s="6" t="s">
        <v>1060</v>
      </c>
      <c r="C58" s="6" t="s">
        <v>1637</v>
      </c>
      <c r="D58" s="6" t="s">
        <v>1604</v>
      </c>
      <c r="E58" s="6" t="s">
        <v>1605</v>
      </c>
      <c r="F58" s="6" t="s">
        <v>1606</v>
      </c>
      <c r="G58" s="6" t="s">
        <v>1607</v>
      </c>
      <c r="H58" s="6"/>
      <c r="I58" s="6" t="n">
        <v>0</v>
      </c>
    </row>
    <row r="59" customFormat="false" ht="23.25" hidden="false" customHeight="true" outlineLevel="0" collapsed="false">
      <c r="A59" s="6" t="s">
        <v>1603</v>
      </c>
      <c r="B59" s="6" t="s">
        <v>1062</v>
      </c>
      <c r="C59" s="6" t="s">
        <v>1063</v>
      </c>
      <c r="D59" s="6" t="s">
        <v>1604</v>
      </c>
      <c r="E59" s="6" t="s">
        <v>1605</v>
      </c>
      <c r="F59" s="6" t="s">
        <v>1606</v>
      </c>
      <c r="G59" s="6" t="s">
        <v>1607</v>
      </c>
      <c r="H59" s="6"/>
      <c r="I59" s="6" t="n">
        <v>0</v>
      </c>
    </row>
    <row r="60" customFormat="false" ht="23.25" hidden="false" customHeight="true" outlineLevel="0" collapsed="false">
      <c r="A60" s="6" t="s">
        <v>1603</v>
      </c>
      <c r="B60" s="6" t="s">
        <v>1062</v>
      </c>
      <c r="C60" s="6" t="s">
        <v>1638</v>
      </c>
      <c r="D60" s="6" t="s">
        <v>1604</v>
      </c>
      <c r="E60" s="6" t="s">
        <v>1605</v>
      </c>
      <c r="F60" s="6" t="s">
        <v>1606</v>
      </c>
      <c r="G60" s="6" t="s">
        <v>1607</v>
      </c>
      <c r="H60" s="6"/>
      <c r="I60" s="6" t="n">
        <v>0</v>
      </c>
    </row>
    <row r="61" customFormat="false" ht="23.25" hidden="false" customHeight="true" outlineLevel="0" collapsed="false">
      <c r="A61" s="6" t="s">
        <v>1603</v>
      </c>
      <c r="B61" s="6" t="s">
        <v>1062</v>
      </c>
      <c r="C61" s="6" t="s">
        <v>1639</v>
      </c>
      <c r="D61" s="6" t="s">
        <v>1604</v>
      </c>
      <c r="E61" s="6" t="s">
        <v>1605</v>
      </c>
      <c r="F61" s="6" t="s">
        <v>1606</v>
      </c>
      <c r="G61" s="6" t="s">
        <v>1607</v>
      </c>
      <c r="H61" s="6"/>
      <c r="I61" s="6" t="n">
        <v>0</v>
      </c>
    </row>
    <row r="62" customFormat="false" ht="23.25" hidden="false" customHeight="true" outlineLevel="0" collapsed="false">
      <c r="A62" s="6" t="s">
        <v>1603</v>
      </c>
      <c r="B62" s="6" t="s">
        <v>1062</v>
      </c>
      <c r="C62" s="6" t="s">
        <v>1640</v>
      </c>
      <c r="D62" s="6" t="s">
        <v>1604</v>
      </c>
      <c r="E62" s="6" t="s">
        <v>1605</v>
      </c>
      <c r="F62" s="6" t="s">
        <v>1606</v>
      </c>
      <c r="G62" s="6" t="s">
        <v>1607</v>
      </c>
      <c r="H62" s="6"/>
      <c r="I62" s="6" t="n">
        <v>0</v>
      </c>
    </row>
    <row r="63" customFormat="false" ht="23.25" hidden="false" customHeight="true" outlineLevel="0" collapsed="false">
      <c r="A63" s="6" t="s">
        <v>1603</v>
      </c>
      <c r="B63" s="6" t="s">
        <v>1062</v>
      </c>
      <c r="C63" s="6" t="s">
        <v>1641</v>
      </c>
      <c r="D63" s="6" t="s">
        <v>1604</v>
      </c>
      <c r="E63" s="6" t="s">
        <v>1605</v>
      </c>
      <c r="F63" s="6" t="s">
        <v>1606</v>
      </c>
      <c r="G63" s="6" t="s">
        <v>1607</v>
      </c>
      <c r="H63" s="6"/>
      <c r="I63" s="6" t="n">
        <v>0</v>
      </c>
    </row>
    <row r="64" customFormat="false" ht="23.25" hidden="false" customHeight="true" outlineLevel="0" collapsed="false">
      <c r="A64" s="6" t="s">
        <v>1603</v>
      </c>
      <c r="B64" s="6" t="s">
        <v>1062</v>
      </c>
      <c r="C64" s="6" t="s">
        <v>1642</v>
      </c>
      <c r="D64" s="6" t="s">
        <v>1604</v>
      </c>
      <c r="E64" s="6" t="s">
        <v>1605</v>
      </c>
      <c r="F64" s="6" t="s">
        <v>1606</v>
      </c>
      <c r="G64" s="6" t="s">
        <v>1607</v>
      </c>
      <c r="H64" s="6"/>
      <c r="I64" s="6" t="n">
        <v>0</v>
      </c>
    </row>
    <row r="65" customFormat="false" ht="23.25" hidden="false" customHeight="true" outlineLevel="0" collapsed="false">
      <c r="A65" s="6" t="s">
        <v>1603</v>
      </c>
      <c r="B65" s="6" t="s">
        <v>1062</v>
      </c>
      <c r="C65" s="6" t="s">
        <v>1643</v>
      </c>
      <c r="D65" s="6" t="s">
        <v>1604</v>
      </c>
      <c r="E65" s="6" t="s">
        <v>1605</v>
      </c>
      <c r="F65" s="6" t="s">
        <v>1606</v>
      </c>
      <c r="G65" s="6" t="s">
        <v>1607</v>
      </c>
      <c r="H65" s="6"/>
      <c r="I65" s="6" t="n">
        <v>0</v>
      </c>
    </row>
    <row r="66" customFormat="false" ht="23.25" hidden="false" customHeight="true" outlineLevel="0" collapsed="false">
      <c r="A66" s="6" t="s">
        <v>1603</v>
      </c>
      <c r="B66" s="6" t="s">
        <v>1062</v>
      </c>
      <c r="C66" s="6" t="s">
        <v>1644</v>
      </c>
      <c r="D66" s="6" t="s">
        <v>1604</v>
      </c>
      <c r="E66" s="6" t="s">
        <v>1605</v>
      </c>
      <c r="F66" s="6" t="s">
        <v>1606</v>
      </c>
      <c r="G66" s="6" t="s">
        <v>1607</v>
      </c>
      <c r="H66" s="6"/>
      <c r="I66" s="6" t="n">
        <v>0</v>
      </c>
    </row>
    <row r="67" customFormat="false" ht="23.25" hidden="false" customHeight="true" outlineLevel="0" collapsed="false">
      <c r="A67" s="6" t="s">
        <v>1603</v>
      </c>
      <c r="B67" s="6" t="s">
        <v>1062</v>
      </c>
      <c r="C67" s="6" t="s">
        <v>1645</v>
      </c>
      <c r="D67" s="6" t="s">
        <v>1604</v>
      </c>
      <c r="E67" s="6" t="s">
        <v>1605</v>
      </c>
      <c r="F67" s="6" t="s">
        <v>1606</v>
      </c>
      <c r="G67" s="6" t="s">
        <v>1607</v>
      </c>
      <c r="H67" s="6"/>
      <c r="I67" s="6" t="n">
        <v>0</v>
      </c>
    </row>
    <row r="68" customFormat="false" ht="23.25" hidden="false" customHeight="true" outlineLevel="0" collapsed="false">
      <c r="A68" s="6" t="s">
        <v>1603</v>
      </c>
      <c r="B68" s="6" t="s">
        <v>1064</v>
      </c>
      <c r="C68" s="6" t="s">
        <v>1065</v>
      </c>
      <c r="D68" s="6" t="s">
        <v>1604</v>
      </c>
      <c r="E68" s="6" t="s">
        <v>1605</v>
      </c>
      <c r="F68" s="6" t="s">
        <v>1606</v>
      </c>
      <c r="G68" s="6" t="s">
        <v>1632</v>
      </c>
      <c r="H68" s="6" t="s">
        <v>1066</v>
      </c>
      <c r="I68" s="6" t="n">
        <v>9</v>
      </c>
    </row>
    <row r="69" customFormat="false" ht="23.25" hidden="false" customHeight="true" outlineLevel="0" collapsed="false">
      <c r="A69" s="6" t="s">
        <v>1603</v>
      </c>
      <c r="B69" s="6" t="s">
        <v>1067</v>
      </c>
      <c r="C69" s="6" t="s">
        <v>1068</v>
      </c>
      <c r="D69" s="6" t="s">
        <v>1604</v>
      </c>
      <c r="E69" s="6" t="s">
        <v>1605</v>
      </c>
      <c r="F69" s="6" t="s">
        <v>1606</v>
      </c>
      <c r="G69" s="6" t="s">
        <v>1607</v>
      </c>
      <c r="H69" s="6"/>
      <c r="I69" s="6" t="n">
        <v>0</v>
      </c>
    </row>
    <row r="70" customFormat="false" ht="23.25" hidden="false" customHeight="true" outlineLevel="0" collapsed="false">
      <c r="A70" s="6" t="s">
        <v>1603</v>
      </c>
      <c r="B70" s="6" t="s">
        <v>1067</v>
      </c>
      <c r="C70" s="6" t="s">
        <v>1646</v>
      </c>
      <c r="D70" s="6" t="s">
        <v>1604</v>
      </c>
      <c r="E70" s="6" t="s">
        <v>1605</v>
      </c>
      <c r="F70" s="6" t="s">
        <v>1606</v>
      </c>
      <c r="G70" s="6" t="s">
        <v>1607</v>
      </c>
      <c r="H70" s="6"/>
      <c r="I70" s="6" t="n">
        <v>0</v>
      </c>
    </row>
    <row r="71" customFormat="false" ht="23.25" hidden="false" customHeight="true" outlineLevel="0" collapsed="false">
      <c r="A71" s="6" t="s">
        <v>1603</v>
      </c>
      <c r="B71" s="6" t="s">
        <v>1067</v>
      </c>
      <c r="C71" s="6" t="s">
        <v>1647</v>
      </c>
      <c r="D71" s="6" t="s">
        <v>1604</v>
      </c>
      <c r="E71" s="6" t="s">
        <v>1605</v>
      </c>
      <c r="F71" s="6" t="s">
        <v>1606</v>
      </c>
      <c r="G71" s="6" t="s">
        <v>1607</v>
      </c>
      <c r="H71" s="6"/>
      <c r="I71" s="6" t="n">
        <v>0</v>
      </c>
    </row>
    <row r="72" customFormat="false" ht="23.25" hidden="false" customHeight="true" outlineLevel="0" collapsed="false">
      <c r="A72" s="6" t="s">
        <v>1603</v>
      </c>
      <c r="B72" s="6" t="s">
        <v>1067</v>
      </c>
      <c r="C72" s="6" t="s">
        <v>1648</v>
      </c>
      <c r="D72" s="6" t="s">
        <v>1604</v>
      </c>
      <c r="E72" s="6" t="s">
        <v>1605</v>
      </c>
      <c r="F72" s="6" t="s">
        <v>1606</v>
      </c>
      <c r="G72" s="6" t="s">
        <v>1607</v>
      </c>
      <c r="H72" s="6"/>
      <c r="I72" s="6" t="n">
        <v>0</v>
      </c>
    </row>
    <row r="73" customFormat="false" ht="23.25" hidden="false" customHeight="true" outlineLevel="0" collapsed="false">
      <c r="A73" s="6" t="s">
        <v>1603</v>
      </c>
      <c r="B73" s="6" t="s">
        <v>1067</v>
      </c>
      <c r="C73" s="6" t="s">
        <v>1649</v>
      </c>
      <c r="D73" s="6" t="s">
        <v>1604</v>
      </c>
      <c r="E73" s="6" t="s">
        <v>1605</v>
      </c>
      <c r="F73" s="6" t="s">
        <v>1606</v>
      </c>
      <c r="G73" s="6" t="s">
        <v>1607</v>
      </c>
      <c r="H73" s="6"/>
      <c r="I73" s="6" t="n">
        <v>0</v>
      </c>
    </row>
    <row r="74" customFormat="false" ht="23.25" hidden="false" customHeight="true" outlineLevel="0" collapsed="false">
      <c r="A74" s="6" t="s">
        <v>1603</v>
      </c>
      <c r="B74" s="6" t="s">
        <v>1069</v>
      </c>
      <c r="C74" s="6" t="s">
        <v>1070</v>
      </c>
      <c r="D74" s="6" t="s">
        <v>1604</v>
      </c>
      <c r="E74" s="6" t="s">
        <v>1605</v>
      </c>
      <c r="F74" s="6" t="s">
        <v>1606</v>
      </c>
      <c r="G74" s="6" t="s">
        <v>1607</v>
      </c>
      <c r="H74" s="6"/>
      <c r="I74" s="6" t="n">
        <v>0</v>
      </c>
    </row>
    <row r="75" customFormat="false" ht="23.25" hidden="false" customHeight="true" outlineLevel="0" collapsed="false">
      <c r="A75" s="6" t="s">
        <v>1603</v>
      </c>
      <c r="B75" s="6" t="s">
        <v>1071</v>
      </c>
      <c r="C75" s="6" t="s">
        <v>1072</v>
      </c>
      <c r="D75" s="6" t="s">
        <v>1604</v>
      </c>
      <c r="E75" s="6" t="s">
        <v>1605</v>
      </c>
      <c r="F75" s="6" t="s">
        <v>1606</v>
      </c>
      <c r="G75" s="6" t="s">
        <v>1607</v>
      </c>
      <c r="H75" s="6"/>
      <c r="I75" s="6" t="n">
        <v>0</v>
      </c>
    </row>
    <row r="76" customFormat="false" ht="23.25" hidden="false" customHeight="true" outlineLevel="0" collapsed="false">
      <c r="A76" s="6" t="s">
        <v>1603</v>
      </c>
      <c r="B76" s="6" t="s">
        <v>1071</v>
      </c>
      <c r="C76" s="6" t="s">
        <v>1650</v>
      </c>
      <c r="D76" s="6" t="s">
        <v>1604</v>
      </c>
      <c r="E76" s="6" t="s">
        <v>1605</v>
      </c>
      <c r="F76" s="6" t="s">
        <v>1606</v>
      </c>
      <c r="G76" s="6" t="s">
        <v>1607</v>
      </c>
      <c r="H76" s="6"/>
      <c r="I76" s="6" t="n">
        <v>0</v>
      </c>
    </row>
    <row r="77" customFormat="false" ht="23.25" hidden="false" customHeight="true" outlineLevel="0" collapsed="false">
      <c r="A77" s="6" t="s">
        <v>1603</v>
      </c>
      <c r="B77" s="6" t="s">
        <v>1071</v>
      </c>
      <c r="C77" s="6" t="s">
        <v>1651</v>
      </c>
      <c r="D77" s="6" t="s">
        <v>1604</v>
      </c>
      <c r="E77" s="6" t="s">
        <v>1605</v>
      </c>
      <c r="F77" s="6" t="s">
        <v>1606</v>
      </c>
      <c r="G77" s="6" t="s">
        <v>1607</v>
      </c>
      <c r="H77" s="6"/>
      <c r="I77" s="6" t="n">
        <v>0</v>
      </c>
    </row>
    <row r="78" customFormat="false" ht="23.25" hidden="false" customHeight="true" outlineLevel="0" collapsed="false">
      <c r="A78" s="6" t="s">
        <v>1603</v>
      </c>
      <c r="B78" s="6" t="s">
        <v>1071</v>
      </c>
      <c r="C78" s="6" t="s">
        <v>1652</v>
      </c>
      <c r="D78" s="6" t="s">
        <v>1604</v>
      </c>
      <c r="E78" s="6" t="s">
        <v>1605</v>
      </c>
      <c r="F78" s="6" t="s">
        <v>1606</v>
      </c>
      <c r="G78" s="6" t="s">
        <v>1607</v>
      </c>
      <c r="H78" s="6"/>
      <c r="I78" s="6" t="n">
        <v>0</v>
      </c>
    </row>
    <row r="79" customFormat="false" ht="23.25" hidden="false" customHeight="true" outlineLevel="0" collapsed="false">
      <c r="A79" s="6" t="s">
        <v>1603</v>
      </c>
      <c r="B79" s="6" t="s">
        <v>1073</v>
      </c>
      <c r="C79" s="6" t="s">
        <v>1074</v>
      </c>
      <c r="D79" s="6" t="s">
        <v>1604</v>
      </c>
      <c r="E79" s="6" t="s">
        <v>1605</v>
      </c>
      <c r="F79" s="6" t="s">
        <v>1606</v>
      </c>
      <c r="G79" s="6" t="s">
        <v>1607</v>
      </c>
      <c r="H79" s="6"/>
      <c r="I79" s="6" t="n">
        <v>0</v>
      </c>
    </row>
    <row r="80" customFormat="false" ht="23.25" hidden="false" customHeight="true" outlineLevel="0" collapsed="false">
      <c r="A80" s="6" t="s">
        <v>1603</v>
      </c>
      <c r="B80" s="6" t="s">
        <v>1073</v>
      </c>
      <c r="C80" s="6" t="s">
        <v>1653</v>
      </c>
      <c r="D80" s="6" t="s">
        <v>1604</v>
      </c>
      <c r="E80" s="6" t="s">
        <v>1605</v>
      </c>
      <c r="F80" s="6" t="s">
        <v>1606</v>
      </c>
      <c r="G80" s="6" t="s">
        <v>1607</v>
      </c>
      <c r="H80" s="6"/>
      <c r="I80" s="6" t="n">
        <v>0</v>
      </c>
    </row>
    <row r="81" customFormat="false" ht="23.25" hidden="false" customHeight="true" outlineLevel="0" collapsed="false">
      <c r="A81" s="6" t="s">
        <v>1603</v>
      </c>
      <c r="B81" s="6" t="s">
        <v>1073</v>
      </c>
      <c r="C81" s="6" t="s">
        <v>1654</v>
      </c>
      <c r="D81" s="6" t="s">
        <v>1604</v>
      </c>
      <c r="E81" s="6" t="s">
        <v>1605</v>
      </c>
      <c r="F81" s="6" t="s">
        <v>1606</v>
      </c>
      <c r="G81" s="6" t="s">
        <v>1607</v>
      </c>
      <c r="H81" s="6"/>
      <c r="I81" s="6" t="n">
        <v>0</v>
      </c>
    </row>
    <row r="82" customFormat="false" ht="23.25" hidden="false" customHeight="true" outlineLevel="0" collapsed="false">
      <c r="A82" s="6" t="s">
        <v>1603</v>
      </c>
      <c r="B82" s="6" t="s">
        <v>1073</v>
      </c>
      <c r="C82" s="6" t="s">
        <v>1655</v>
      </c>
      <c r="D82" s="6" t="s">
        <v>1604</v>
      </c>
      <c r="E82" s="6" t="s">
        <v>1605</v>
      </c>
      <c r="F82" s="6" t="s">
        <v>1606</v>
      </c>
      <c r="G82" s="6" t="s">
        <v>1607</v>
      </c>
      <c r="H82" s="6"/>
      <c r="I82" s="6" t="n">
        <v>0</v>
      </c>
    </row>
    <row r="83" customFormat="false" ht="23.25" hidden="false" customHeight="true" outlineLevel="0" collapsed="false">
      <c r="A83" s="6" t="s">
        <v>1603</v>
      </c>
      <c r="B83" s="6" t="s">
        <v>1075</v>
      </c>
      <c r="C83" s="6" t="s">
        <v>1076</v>
      </c>
      <c r="D83" s="6" t="s">
        <v>1604</v>
      </c>
      <c r="E83" s="6" t="s">
        <v>1605</v>
      </c>
      <c r="F83" s="6" t="s">
        <v>1606</v>
      </c>
      <c r="G83" s="6" t="s">
        <v>1607</v>
      </c>
      <c r="H83" s="6"/>
      <c r="I83" s="6" t="n">
        <v>0</v>
      </c>
    </row>
    <row r="84" customFormat="false" ht="23.25" hidden="false" customHeight="true" outlineLevel="0" collapsed="false">
      <c r="A84" s="6" t="s">
        <v>1603</v>
      </c>
      <c r="B84" s="6" t="s">
        <v>1075</v>
      </c>
      <c r="C84" s="6" t="s">
        <v>1656</v>
      </c>
      <c r="D84" s="6" t="s">
        <v>1604</v>
      </c>
      <c r="E84" s="6" t="s">
        <v>1605</v>
      </c>
      <c r="F84" s="6" t="s">
        <v>1606</v>
      </c>
      <c r="G84" s="6" t="s">
        <v>1607</v>
      </c>
      <c r="H84" s="6"/>
      <c r="I84" s="6" t="n">
        <v>0</v>
      </c>
    </row>
    <row r="85" customFormat="false" ht="23.25" hidden="false" customHeight="true" outlineLevel="0" collapsed="false">
      <c r="A85" s="6" t="s">
        <v>1603</v>
      </c>
      <c r="B85" s="6" t="s">
        <v>1075</v>
      </c>
      <c r="C85" s="6" t="s">
        <v>1657</v>
      </c>
      <c r="D85" s="6" t="s">
        <v>1604</v>
      </c>
      <c r="E85" s="6" t="s">
        <v>1605</v>
      </c>
      <c r="F85" s="6" t="s">
        <v>1606</v>
      </c>
      <c r="G85" s="6" t="s">
        <v>1607</v>
      </c>
      <c r="H85" s="6"/>
      <c r="I85" s="6" t="n">
        <v>0</v>
      </c>
    </row>
    <row r="86" customFormat="false" ht="23.25" hidden="false" customHeight="true" outlineLevel="0" collapsed="false">
      <c r="A86" s="6" t="s">
        <v>1603</v>
      </c>
      <c r="B86" s="6" t="s">
        <v>1077</v>
      </c>
      <c r="C86" s="6" t="s">
        <v>1078</v>
      </c>
      <c r="D86" s="6" t="s">
        <v>1604</v>
      </c>
      <c r="E86" s="6" t="s">
        <v>1605</v>
      </c>
      <c r="F86" s="6" t="s">
        <v>1606</v>
      </c>
      <c r="G86" s="6" t="s">
        <v>1607</v>
      </c>
      <c r="H86" s="6"/>
      <c r="I86" s="6" t="n">
        <v>0</v>
      </c>
    </row>
    <row r="87" customFormat="false" ht="23.25" hidden="false" customHeight="true" outlineLevel="0" collapsed="false">
      <c r="A87" s="6" t="s">
        <v>1603</v>
      </c>
      <c r="B87" s="6" t="s">
        <v>1079</v>
      </c>
      <c r="C87" s="6" t="s">
        <v>1080</v>
      </c>
      <c r="D87" s="6" t="s">
        <v>1604</v>
      </c>
      <c r="E87" s="6" t="s">
        <v>1605</v>
      </c>
      <c r="F87" s="6" t="s">
        <v>1606</v>
      </c>
      <c r="G87" s="6" t="s">
        <v>1607</v>
      </c>
      <c r="H87" s="6"/>
      <c r="I87" s="6" t="n">
        <v>0</v>
      </c>
    </row>
    <row r="88" customFormat="false" ht="23.25" hidden="false" customHeight="true" outlineLevel="0" collapsed="false">
      <c r="A88" s="6" t="s">
        <v>1603</v>
      </c>
      <c r="B88" s="6" t="s">
        <v>1079</v>
      </c>
      <c r="C88" s="6" t="s">
        <v>1658</v>
      </c>
      <c r="D88" s="6" t="s">
        <v>1604</v>
      </c>
      <c r="E88" s="6" t="s">
        <v>1605</v>
      </c>
      <c r="F88" s="6" t="s">
        <v>1606</v>
      </c>
      <c r="G88" s="6" t="s">
        <v>1607</v>
      </c>
      <c r="H88" s="6"/>
      <c r="I88" s="6" t="n">
        <v>0</v>
      </c>
    </row>
    <row r="89" customFormat="false" ht="23.25" hidden="false" customHeight="true" outlineLevel="0" collapsed="false">
      <c r="A89" s="6" t="s">
        <v>1603</v>
      </c>
      <c r="B89" s="6" t="s">
        <v>1079</v>
      </c>
      <c r="C89" s="6" t="s">
        <v>1659</v>
      </c>
      <c r="D89" s="6" t="s">
        <v>1604</v>
      </c>
      <c r="E89" s="6" t="s">
        <v>1605</v>
      </c>
      <c r="F89" s="6" t="s">
        <v>1606</v>
      </c>
      <c r="G89" s="6" t="s">
        <v>1607</v>
      </c>
      <c r="H89" s="6"/>
      <c r="I89" s="6" t="n">
        <v>0</v>
      </c>
    </row>
    <row r="90" customFormat="false" ht="23.25" hidden="false" customHeight="true" outlineLevel="0" collapsed="false">
      <c r="A90" s="6" t="s">
        <v>1603</v>
      </c>
      <c r="B90" s="6" t="s">
        <v>1081</v>
      </c>
      <c r="C90" s="6" t="s">
        <v>1082</v>
      </c>
      <c r="D90" s="6" t="s">
        <v>1604</v>
      </c>
      <c r="E90" s="6" t="s">
        <v>1605</v>
      </c>
      <c r="F90" s="6" t="s">
        <v>1606</v>
      </c>
      <c r="G90" s="6" t="s">
        <v>1607</v>
      </c>
      <c r="H90" s="6"/>
      <c r="I90" s="6" t="n">
        <v>1</v>
      </c>
    </row>
    <row r="91" customFormat="false" ht="23.25" hidden="false" customHeight="true" outlineLevel="0" collapsed="false">
      <c r="A91" s="6" t="s">
        <v>1603</v>
      </c>
      <c r="B91" s="6" t="s">
        <v>1083</v>
      </c>
      <c r="C91" s="6" t="s">
        <v>1084</v>
      </c>
      <c r="D91" s="6" t="s">
        <v>1604</v>
      </c>
      <c r="E91" s="6" t="s">
        <v>1605</v>
      </c>
      <c r="F91" s="6" t="s">
        <v>1606</v>
      </c>
      <c r="G91" s="6" t="s">
        <v>1607</v>
      </c>
      <c r="H91" s="6"/>
      <c r="I91" s="6" t="n">
        <v>0</v>
      </c>
    </row>
    <row r="92" customFormat="false" ht="23.25" hidden="false" customHeight="true" outlineLevel="0" collapsed="false">
      <c r="A92" s="6" t="s">
        <v>1603</v>
      </c>
      <c r="B92" s="6" t="s">
        <v>1083</v>
      </c>
      <c r="C92" s="6" t="s">
        <v>1660</v>
      </c>
      <c r="D92" s="6" t="s">
        <v>1604</v>
      </c>
      <c r="E92" s="6" t="s">
        <v>1605</v>
      </c>
      <c r="F92" s="6" t="s">
        <v>1606</v>
      </c>
      <c r="G92" s="6" t="s">
        <v>1607</v>
      </c>
      <c r="H92" s="6"/>
      <c r="I92" s="6" t="n">
        <v>0</v>
      </c>
    </row>
    <row r="93" customFormat="false" ht="23.25" hidden="false" customHeight="true" outlineLevel="0" collapsed="false">
      <c r="A93" s="6" t="s">
        <v>1603</v>
      </c>
      <c r="B93" s="6" t="s">
        <v>1083</v>
      </c>
      <c r="C93" s="6" t="s">
        <v>1661</v>
      </c>
      <c r="D93" s="6" t="s">
        <v>1604</v>
      </c>
      <c r="E93" s="6" t="s">
        <v>1605</v>
      </c>
      <c r="F93" s="6" t="s">
        <v>1606</v>
      </c>
      <c r="G93" s="6" t="s">
        <v>1607</v>
      </c>
      <c r="H93" s="6"/>
      <c r="I93" s="6" t="n">
        <v>0</v>
      </c>
    </row>
    <row r="94" customFormat="false" ht="23.25" hidden="false" customHeight="true" outlineLevel="0" collapsed="false">
      <c r="A94" s="6" t="s">
        <v>1603</v>
      </c>
      <c r="B94" s="6" t="s">
        <v>1083</v>
      </c>
      <c r="C94" s="6" t="s">
        <v>1662</v>
      </c>
      <c r="D94" s="6" t="s">
        <v>1604</v>
      </c>
      <c r="E94" s="6" t="s">
        <v>1605</v>
      </c>
      <c r="F94" s="6" t="s">
        <v>1606</v>
      </c>
      <c r="G94" s="6" t="s">
        <v>1607</v>
      </c>
      <c r="H94" s="6"/>
      <c r="I94" s="6" t="n">
        <v>0</v>
      </c>
    </row>
    <row r="95" customFormat="false" ht="23.25" hidden="false" customHeight="true" outlineLevel="0" collapsed="false">
      <c r="A95" s="6" t="s">
        <v>1603</v>
      </c>
      <c r="B95" s="6" t="s">
        <v>1083</v>
      </c>
      <c r="C95" s="6" t="s">
        <v>1663</v>
      </c>
      <c r="D95" s="6" t="s">
        <v>1604</v>
      </c>
      <c r="E95" s="6" t="s">
        <v>1605</v>
      </c>
      <c r="F95" s="6" t="s">
        <v>1606</v>
      </c>
      <c r="G95" s="6" t="s">
        <v>1607</v>
      </c>
      <c r="H95" s="6"/>
      <c r="I95" s="6" t="n">
        <v>0</v>
      </c>
    </row>
    <row r="96" customFormat="false" ht="23.25" hidden="false" customHeight="true" outlineLevel="0" collapsed="false">
      <c r="A96" s="6" t="s">
        <v>1603</v>
      </c>
      <c r="B96" s="6" t="s">
        <v>1085</v>
      </c>
      <c r="C96" s="6" t="s">
        <v>1086</v>
      </c>
      <c r="D96" s="6" t="s">
        <v>1604</v>
      </c>
      <c r="E96" s="6" t="s">
        <v>1605</v>
      </c>
      <c r="F96" s="6" t="s">
        <v>1606</v>
      </c>
      <c r="G96" s="6" t="s">
        <v>1607</v>
      </c>
      <c r="H96" s="6"/>
      <c r="I96" s="6" t="n">
        <v>0</v>
      </c>
    </row>
    <row r="97" customFormat="false" ht="23.25" hidden="false" customHeight="true" outlineLevel="0" collapsed="false">
      <c r="A97" s="6" t="s">
        <v>1603</v>
      </c>
      <c r="B97" s="6" t="s">
        <v>1085</v>
      </c>
      <c r="C97" s="6" t="s">
        <v>1664</v>
      </c>
      <c r="D97" s="6" t="s">
        <v>1604</v>
      </c>
      <c r="E97" s="6" t="s">
        <v>1605</v>
      </c>
      <c r="F97" s="6" t="s">
        <v>1606</v>
      </c>
      <c r="G97" s="6" t="s">
        <v>1607</v>
      </c>
      <c r="H97" s="6"/>
      <c r="I97" s="6" t="n">
        <v>0</v>
      </c>
    </row>
    <row r="98" customFormat="false" ht="23.25" hidden="false" customHeight="true" outlineLevel="0" collapsed="false">
      <c r="A98" s="6" t="s">
        <v>1603</v>
      </c>
      <c r="B98" s="6" t="s">
        <v>1085</v>
      </c>
      <c r="C98" s="6" t="s">
        <v>1665</v>
      </c>
      <c r="D98" s="6" t="s">
        <v>1604</v>
      </c>
      <c r="E98" s="6" t="s">
        <v>1605</v>
      </c>
      <c r="F98" s="6" t="s">
        <v>1606</v>
      </c>
      <c r="G98" s="6" t="s">
        <v>1607</v>
      </c>
      <c r="H98" s="6"/>
      <c r="I98" s="6" t="n">
        <v>0</v>
      </c>
    </row>
    <row r="99" customFormat="false" ht="23.25" hidden="false" customHeight="true" outlineLevel="0" collapsed="false">
      <c r="A99" s="6" t="s">
        <v>1603</v>
      </c>
      <c r="B99" s="6" t="s">
        <v>1085</v>
      </c>
      <c r="C99" s="6" t="s">
        <v>1666</v>
      </c>
      <c r="D99" s="6" t="s">
        <v>1604</v>
      </c>
      <c r="E99" s="6" t="s">
        <v>1605</v>
      </c>
      <c r="F99" s="6" t="s">
        <v>1606</v>
      </c>
      <c r="G99" s="6" t="s">
        <v>1607</v>
      </c>
      <c r="H99" s="6"/>
      <c r="I99" s="6" t="n">
        <v>0</v>
      </c>
    </row>
    <row r="100" customFormat="false" ht="23.25" hidden="false" customHeight="true" outlineLevel="0" collapsed="false">
      <c r="A100" s="6" t="s">
        <v>1603</v>
      </c>
      <c r="B100" s="6" t="s">
        <v>1327</v>
      </c>
      <c r="C100" s="6" t="s">
        <v>1328</v>
      </c>
      <c r="D100" s="6" t="s">
        <v>1604</v>
      </c>
      <c r="E100" s="6" t="s">
        <v>1605</v>
      </c>
      <c r="F100" s="6" t="s">
        <v>1606</v>
      </c>
      <c r="G100" s="6" t="s">
        <v>1607</v>
      </c>
      <c r="H100" s="6"/>
      <c r="I100" s="6" t="n">
        <v>1</v>
      </c>
    </row>
    <row r="101" customFormat="false" ht="23.25" hidden="false" customHeight="true" outlineLevel="0" collapsed="false">
      <c r="A101" s="6" t="s">
        <v>1603</v>
      </c>
      <c r="B101" s="6" t="s">
        <v>1327</v>
      </c>
      <c r="C101" s="6" t="s">
        <v>1667</v>
      </c>
      <c r="D101" s="6" t="s">
        <v>1604</v>
      </c>
      <c r="E101" s="6" t="s">
        <v>1605</v>
      </c>
      <c r="F101" s="6" t="s">
        <v>1606</v>
      </c>
      <c r="G101" s="6" t="s">
        <v>1607</v>
      </c>
      <c r="H101" s="6"/>
      <c r="I101" s="6" t="n">
        <v>0</v>
      </c>
    </row>
    <row r="102" customFormat="false" ht="23.25" hidden="false" customHeight="true" outlineLevel="0" collapsed="false">
      <c r="A102" s="6" t="s">
        <v>1603</v>
      </c>
      <c r="B102" s="6" t="s">
        <v>1327</v>
      </c>
      <c r="C102" s="6" t="s">
        <v>1668</v>
      </c>
      <c r="D102" s="6" t="s">
        <v>1604</v>
      </c>
      <c r="E102" s="6" t="s">
        <v>1605</v>
      </c>
      <c r="F102" s="6" t="s">
        <v>1606</v>
      </c>
      <c r="G102" s="6" t="s">
        <v>1607</v>
      </c>
      <c r="H102" s="6"/>
      <c r="I102" s="6" t="n">
        <v>0</v>
      </c>
    </row>
    <row r="103" customFormat="false" ht="23.25" hidden="false" customHeight="true" outlineLevel="0" collapsed="false">
      <c r="A103" s="6" t="s">
        <v>1603</v>
      </c>
      <c r="B103" s="6" t="s">
        <v>1327</v>
      </c>
      <c r="C103" s="6" t="s">
        <v>1669</v>
      </c>
      <c r="D103" s="6" t="s">
        <v>1604</v>
      </c>
      <c r="E103" s="6" t="s">
        <v>1605</v>
      </c>
      <c r="F103" s="6" t="s">
        <v>1606</v>
      </c>
      <c r="G103" s="6" t="s">
        <v>1607</v>
      </c>
      <c r="H103" s="6"/>
      <c r="I103" s="6" t="n">
        <v>0</v>
      </c>
    </row>
    <row r="104" customFormat="false" ht="23.25" hidden="false" customHeight="true" outlineLevel="0" collapsed="false">
      <c r="A104" s="6" t="s">
        <v>1603</v>
      </c>
      <c r="B104" s="6" t="s">
        <v>1327</v>
      </c>
      <c r="C104" s="6" t="s">
        <v>1670</v>
      </c>
      <c r="D104" s="6" t="s">
        <v>1604</v>
      </c>
      <c r="E104" s="6" t="s">
        <v>1605</v>
      </c>
      <c r="F104" s="6" t="s">
        <v>1606</v>
      </c>
      <c r="G104" s="6" t="s">
        <v>1607</v>
      </c>
      <c r="H104" s="6"/>
      <c r="I104" s="6" t="n">
        <v>0</v>
      </c>
    </row>
    <row r="105" customFormat="false" ht="23.25" hidden="false" customHeight="true" outlineLevel="0" collapsed="false">
      <c r="A105" s="6" t="s">
        <v>1603</v>
      </c>
      <c r="B105" s="6" t="s">
        <v>1327</v>
      </c>
      <c r="C105" s="6" t="s">
        <v>1671</v>
      </c>
      <c r="D105" s="6" t="s">
        <v>1604</v>
      </c>
      <c r="E105" s="6" t="s">
        <v>1605</v>
      </c>
      <c r="F105" s="6" t="s">
        <v>1606</v>
      </c>
      <c r="G105" s="6" t="s">
        <v>1607</v>
      </c>
      <c r="H105" s="6"/>
      <c r="I105" s="6" t="n">
        <v>0</v>
      </c>
    </row>
    <row r="106" customFormat="false" ht="23.25" hidden="false" customHeight="true" outlineLevel="0" collapsed="false">
      <c r="A106" s="6" t="s">
        <v>1603</v>
      </c>
      <c r="B106" s="6" t="s">
        <v>1327</v>
      </c>
      <c r="C106" s="6" t="s">
        <v>1672</v>
      </c>
      <c r="D106" s="6" t="s">
        <v>1604</v>
      </c>
      <c r="E106" s="6" t="s">
        <v>1605</v>
      </c>
      <c r="F106" s="6" t="s">
        <v>1606</v>
      </c>
      <c r="G106" s="6" t="s">
        <v>1607</v>
      </c>
      <c r="H106" s="6"/>
      <c r="I106" s="6" t="n">
        <v>0</v>
      </c>
    </row>
    <row r="107" customFormat="false" ht="23.25" hidden="false" customHeight="true" outlineLevel="0" collapsed="false">
      <c r="A107" s="6" t="s">
        <v>1603</v>
      </c>
      <c r="B107" s="6" t="s">
        <v>1327</v>
      </c>
      <c r="C107" s="6" t="s">
        <v>1673</v>
      </c>
      <c r="D107" s="6" t="s">
        <v>1604</v>
      </c>
      <c r="E107" s="6" t="s">
        <v>1605</v>
      </c>
      <c r="F107" s="6" t="s">
        <v>1606</v>
      </c>
      <c r="G107" s="6" t="s">
        <v>1607</v>
      </c>
      <c r="H107" s="6"/>
      <c r="I107" s="6" t="n">
        <v>0</v>
      </c>
    </row>
    <row r="108" customFormat="false" ht="23.25" hidden="false" customHeight="true" outlineLevel="0" collapsed="false">
      <c r="A108" s="6" t="s">
        <v>1603</v>
      </c>
      <c r="B108" s="6" t="s">
        <v>1327</v>
      </c>
      <c r="C108" s="6" t="s">
        <v>1674</v>
      </c>
      <c r="D108" s="6" t="s">
        <v>1604</v>
      </c>
      <c r="E108" s="6" t="s">
        <v>1605</v>
      </c>
      <c r="F108" s="6" t="s">
        <v>1606</v>
      </c>
      <c r="G108" s="6" t="s">
        <v>1607</v>
      </c>
      <c r="H108" s="6"/>
      <c r="I108" s="6" t="n">
        <v>0</v>
      </c>
    </row>
    <row r="109" customFormat="false" ht="23.25" hidden="false" customHeight="true" outlineLevel="0" collapsed="false">
      <c r="A109" s="6" t="s">
        <v>1603</v>
      </c>
      <c r="B109" s="6" t="s">
        <v>1327</v>
      </c>
      <c r="C109" s="6" t="s">
        <v>1675</v>
      </c>
      <c r="D109" s="6" t="s">
        <v>1604</v>
      </c>
      <c r="E109" s="6" t="s">
        <v>1605</v>
      </c>
      <c r="F109" s="6" t="s">
        <v>1606</v>
      </c>
      <c r="G109" s="6" t="s">
        <v>1607</v>
      </c>
      <c r="H109" s="6"/>
      <c r="I109" s="6" t="n">
        <v>0</v>
      </c>
    </row>
    <row r="110" customFormat="false" ht="23.25" hidden="false" customHeight="true" outlineLevel="0" collapsed="false">
      <c r="A110" s="6" t="s">
        <v>1603</v>
      </c>
      <c r="B110" s="6" t="s">
        <v>1331</v>
      </c>
      <c r="C110" s="6" t="s">
        <v>1332</v>
      </c>
      <c r="D110" s="6" t="s">
        <v>1604</v>
      </c>
      <c r="E110" s="6" t="s">
        <v>1605</v>
      </c>
      <c r="F110" s="6" t="s">
        <v>1606</v>
      </c>
      <c r="G110" s="6" t="s">
        <v>1607</v>
      </c>
      <c r="H110" s="6"/>
      <c r="I110" s="6" t="n">
        <v>0</v>
      </c>
    </row>
    <row r="111" customFormat="false" ht="23.25" hidden="false" customHeight="true" outlineLevel="0" collapsed="false">
      <c r="A111" s="6" t="s">
        <v>1603</v>
      </c>
      <c r="B111" s="6" t="s">
        <v>1331</v>
      </c>
      <c r="C111" s="6" t="s">
        <v>1676</v>
      </c>
      <c r="D111" s="6" t="s">
        <v>1604</v>
      </c>
      <c r="E111" s="6" t="s">
        <v>1605</v>
      </c>
      <c r="F111" s="6" t="s">
        <v>1606</v>
      </c>
      <c r="G111" s="6" t="s">
        <v>1607</v>
      </c>
      <c r="H111" s="6"/>
      <c r="I111" s="6" t="n">
        <v>0</v>
      </c>
    </row>
    <row r="112" customFormat="false" ht="23.25" hidden="false" customHeight="true" outlineLevel="0" collapsed="false">
      <c r="A112" s="6" t="s">
        <v>1603</v>
      </c>
      <c r="B112" s="6" t="s">
        <v>1331</v>
      </c>
      <c r="C112" s="6" t="s">
        <v>1677</v>
      </c>
      <c r="D112" s="6" t="s">
        <v>1604</v>
      </c>
      <c r="E112" s="6" t="s">
        <v>1605</v>
      </c>
      <c r="F112" s="6" t="s">
        <v>1606</v>
      </c>
      <c r="G112" s="6" t="s">
        <v>1607</v>
      </c>
      <c r="H112" s="6"/>
      <c r="I112" s="6" t="n">
        <v>0</v>
      </c>
    </row>
    <row r="113" customFormat="false" ht="23.25" hidden="false" customHeight="true" outlineLevel="0" collapsed="false">
      <c r="A113" s="6" t="s">
        <v>1603</v>
      </c>
      <c r="B113" s="6" t="s">
        <v>1331</v>
      </c>
      <c r="C113" s="6" t="s">
        <v>1678</v>
      </c>
      <c r="D113" s="6" t="s">
        <v>1604</v>
      </c>
      <c r="E113" s="6" t="s">
        <v>1605</v>
      </c>
      <c r="F113" s="6" t="s">
        <v>1606</v>
      </c>
      <c r="G113" s="6" t="s">
        <v>1607</v>
      </c>
      <c r="H113" s="6"/>
      <c r="I113" s="6" t="n">
        <v>0</v>
      </c>
    </row>
    <row r="114" customFormat="false" ht="23.25" hidden="false" customHeight="true" outlineLevel="0" collapsed="false">
      <c r="A114" s="6" t="s">
        <v>1603</v>
      </c>
      <c r="B114" s="6" t="s">
        <v>1333</v>
      </c>
      <c r="C114" s="6" t="s">
        <v>1334</v>
      </c>
      <c r="D114" s="6" t="s">
        <v>1604</v>
      </c>
      <c r="E114" s="6" t="s">
        <v>1605</v>
      </c>
      <c r="F114" s="6" t="s">
        <v>1606</v>
      </c>
      <c r="G114" s="6" t="s">
        <v>1632</v>
      </c>
      <c r="H114" s="6" t="s">
        <v>1335</v>
      </c>
      <c r="I114" s="6" t="n">
        <v>5</v>
      </c>
    </row>
    <row r="115" customFormat="false" ht="23.25" hidden="false" customHeight="true" outlineLevel="0" collapsed="false">
      <c r="A115" s="6" t="s">
        <v>1603</v>
      </c>
      <c r="B115" s="6" t="s">
        <v>1336</v>
      </c>
      <c r="C115" s="6" t="s">
        <v>1337</v>
      </c>
      <c r="D115" s="6" t="s">
        <v>1604</v>
      </c>
      <c r="E115" s="6" t="s">
        <v>1605</v>
      </c>
      <c r="F115" s="6" t="s">
        <v>1606</v>
      </c>
      <c r="G115" s="6" t="s">
        <v>1607</v>
      </c>
      <c r="H115" s="6"/>
      <c r="I115" s="6" t="n">
        <v>0</v>
      </c>
    </row>
    <row r="116" customFormat="false" ht="23.25" hidden="false" customHeight="true" outlineLevel="0" collapsed="false">
      <c r="A116" s="6" t="s">
        <v>1603</v>
      </c>
      <c r="B116" s="6" t="s">
        <v>1336</v>
      </c>
      <c r="C116" s="6" t="s">
        <v>1679</v>
      </c>
      <c r="D116" s="6" t="s">
        <v>1604</v>
      </c>
      <c r="E116" s="6" t="s">
        <v>1605</v>
      </c>
      <c r="F116" s="6" t="s">
        <v>1606</v>
      </c>
      <c r="G116" s="6" t="s">
        <v>1607</v>
      </c>
      <c r="H116" s="6"/>
      <c r="I116" s="6" t="n">
        <v>0</v>
      </c>
    </row>
    <row r="117" customFormat="false" ht="23.25" hidden="false" customHeight="true" outlineLevel="0" collapsed="false">
      <c r="A117" s="6" t="s">
        <v>1603</v>
      </c>
      <c r="B117" s="6" t="s">
        <v>1336</v>
      </c>
      <c r="C117" s="6" t="s">
        <v>1680</v>
      </c>
      <c r="D117" s="6" t="s">
        <v>1604</v>
      </c>
      <c r="E117" s="6" t="s">
        <v>1605</v>
      </c>
      <c r="F117" s="6" t="s">
        <v>1606</v>
      </c>
      <c r="G117" s="6" t="s">
        <v>1607</v>
      </c>
      <c r="H117" s="6"/>
      <c r="I117" s="6" t="n">
        <v>0</v>
      </c>
    </row>
    <row r="118" customFormat="false" ht="23.25" hidden="false" customHeight="true" outlineLevel="0" collapsed="false">
      <c r="A118" s="6" t="s">
        <v>1603</v>
      </c>
      <c r="B118" s="6" t="s">
        <v>1338</v>
      </c>
      <c r="C118" s="6" t="s">
        <v>1339</v>
      </c>
      <c r="D118" s="6" t="s">
        <v>1604</v>
      </c>
      <c r="E118" s="6" t="s">
        <v>1605</v>
      </c>
      <c r="F118" s="6" t="s">
        <v>1606</v>
      </c>
      <c r="G118" s="6" t="s">
        <v>1607</v>
      </c>
      <c r="H118" s="6"/>
      <c r="I118" s="6" t="n">
        <v>0</v>
      </c>
    </row>
    <row r="119" customFormat="false" ht="23.25" hidden="false" customHeight="true" outlineLevel="0" collapsed="false">
      <c r="A119" s="6" t="s">
        <v>1603</v>
      </c>
      <c r="B119" s="6" t="s">
        <v>1338</v>
      </c>
      <c r="C119" s="6" t="s">
        <v>1681</v>
      </c>
      <c r="D119" s="6" t="s">
        <v>1604</v>
      </c>
      <c r="E119" s="6" t="s">
        <v>1605</v>
      </c>
      <c r="F119" s="6" t="s">
        <v>1606</v>
      </c>
      <c r="G119" s="6" t="s">
        <v>1607</v>
      </c>
      <c r="H119" s="6"/>
      <c r="I119" s="6" t="n">
        <v>0</v>
      </c>
    </row>
    <row r="120" customFormat="false" ht="23.25" hidden="false" customHeight="true" outlineLevel="0" collapsed="false">
      <c r="A120" s="6" t="s">
        <v>1603</v>
      </c>
      <c r="B120" s="6" t="s">
        <v>1338</v>
      </c>
      <c r="C120" s="6" t="s">
        <v>1682</v>
      </c>
      <c r="D120" s="6" t="s">
        <v>1604</v>
      </c>
      <c r="E120" s="6" t="s">
        <v>1605</v>
      </c>
      <c r="F120" s="6" t="s">
        <v>1606</v>
      </c>
      <c r="G120" s="6" t="s">
        <v>1607</v>
      </c>
      <c r="H120" s="6"/>
      <c r="I120" s="6" t="n">
        <v>0</v>
      </c>
    </row>
    <row r="121" customFormat="false" ht="23.25" hidden="false" customHeight="true" outlineLevel="0" collapsed="false">
      <c r="A121" s="6" t="s">
        <v>1603</v>
      </c>
      <c r="B121" s="6" t="s">
        <v>1338</v>
      </c>
      <c r="C121" s="6" t="s">
        <v>1683</v>
      </c>
      <c r="D121" s="6" t="s">
        <v>1604</v>
      </c>
      <c r="E121" s="6" t="s">
        <v>1605</v>
      </c>
      <c r="F121" s="6" t="s">
        <v>1606</v>
      </c>
      <c r="G121" s="6" t="s">
        <v>1607</v>
      </c>
      <c r="H121" s="6"/>
      <c r="I121" s="6" t="n">
        <v>0</v>
      </c>
    </row>
    <row r="122" customFormat="false" ht="23.25" hidden="false" customHeight="true" outlineLevel="0" collapsed="false">
      <c r="A122" s="6" t="s">
        <v>1603</v>
      </c>
      <c r="B122" s="6" t="s">
        <v>1338</v>
      </c>
      <c r="C122" s="6" t="s">
        <v>1684</v>
      </c>
      <c r="D122" s="6" t="s">
        <v>1604</v>
      </c>
      <c r="E122" s="6" t="s">
        <v>1605</v>
      </c>
      <c r="F122" s="6" t="s">
        <v>1606</v>
      </c>
      <c r="G122" s="6" t="s">
        <v>1607</v>
      </c>
      <c r="H122" s="6"/>
      <c r="I122" s="6" t="n">
        <v>0</v>
      </c>
    </row>
    <row r="123" customFormat="false" ht="23.25" hidden="false" customHeight="true" outlineLevel="0" collapsed="false">
      <c r="A123" s="6" t="s">
        <v>1603</v>
      </c>
      <c r="B123" s="6" t="s">
        <v>1338</v>
      </c>
      <c r="C123" s="6" t="s">
        <v>1685</v>
      </c>
      <c r="D123" s="6" t="s">
        <v>1604</v>
      </c>
      <c r="E123" s="6" t="s">
        <v>1605</v>
      </c>
      <c r="F123" s="6" t="s">
        <v>1606</v>
      </c>
      <c r="G123" s="6" t="s">
        <v>1607</v>
      </c>
      <c r="H123" s="6"/>
      <c r="I123" s="6" t="n">
        <v>0</v>
      </c>
    </row>
    <row r="124" customFormat="false" ht="23.25" hidden="false" customHeight="true" outlineLevel="0" collapsed="false">
      <c r="A124" s="6" t="s">
        <v>1603</v>
      </c>
      <c r="B124" s="6" t="s">
        <v>1338</v>
      </c>
      <c r="C124" s="6" t="s">
        <v>1686</v>
      </c>
      <c r="D124" s="6" t="s">
        <v>1604</v>
      </c>
      <c r="E124" s="6" t="s">
        <v>1605</v>
      </c>
      <c r="F124" s="6" t="s">
        <v>1606</v>
      </c>
      <c r="G124" s="6" t="s">
        <v>1607</v>
      </c>
      <c r="H124" s="6"/>
      <c r="I124" s="6" t="n">
        <v>0</v>
      </c>
    </row>
    <row r="125" customFormat="false" ht="23.25" hidden="false" customHeight="true" outlineLevel="0" collapsed="false">
      <c r="A125" s="6" t="s">
        <v>1603</v>
      </c>
      <c r="B125" s="6" t="s">
        <v>1340</v>
      </c>
      <c r="C125" s="6" t="s">
        <v>1341</v>
      </c>
      <c r="D125" s="6" t="s">
        <v>1604</v>
      </c>
      <c r="E125" s="6" t="s">
        <v>1605</v>
      </c>
      <c r="F125" s="6" t="s">
        <v>1606</v>
      </c>
      <c r="G125" s="6" t="s">
        <v>1607</v>
      </c>
      <c r="H125" s="6"/>
      <c r="I125" s="6" t="n">
        <v>1</v>
      </c>
    </row>
    <row r="126" customFormat="false" ht="23.25" hidden="false" customHeight="true" outlineLevel="0" collapsed="false">
      <c r="A126" s="6" t="s">
        <v>1603</v>
      </c>
      <c r="B126" s="6" t="s">
        <v>1342</v>
      </c>
      <c r="C126" s="6" t="s">
        <v>1343</v>
      </c>
      <c r="D126" s="6" t="s">
        <v>1604</v>
      </c>
      <c r="E126" s="6" t="s">
        <v>1605</v>
      </c>
      <c r="F126" s="6" t="s">
        <v>1606</v>
      </c>
      <c r="G126" s="6" t="s">
        <v>1607</v>
      </c>
      <c r="H126" s="6"/>
      <c r="I126" s="6" t="n">
        <v>0</v>
      </c>
    </row>
    <row r="127" customFormat="false" ht="23.25" hidden="false" customHeight="true" outlineLevel="0" collapsed="false">
      <c r="A127" s="6" t="s">
        <v>1603</v>
      </c>
      <c r="B127" s="6" t="s">
        <v>1342</v>
      </c>
      <c r="C127" s="6" t="s">
        <v>1687</v>
      </c>
      <c r="D127" s="6" t="s">
        <v>1604</v>
      </c>
      <c r="E127" s="6" t="s">
        <v>1605</v>
      </c>
      <c r="F127" s="6" t="s">
        <v>1606</v>
      </c>
      <c r="G127" s="6" t="s">
        <v>1607</v>
      </c>
      <c r="H127" s="6"/>
      <c r="I127" s="6" t="n">
        <v>0</v>
      </c>
    </row>
    <row r="128" customFormat="false" ht="23.25" hidden="false" customHeight="true" outlineLevel="0" collapsed="false">
      <c r="A128" s="6" t="s">
        <v>1603</v>
      </c>
      <c r="B128" s="6" t="s">
        <v>1342</v>
      </c>
      <c r="C128" s="6" t="s">
        <v>1688</v>
      </c>
      <c r="D128" s="6" t="s">
        <v>1604</v>
      </c>
      <c r="E128" s="6" t="s">
        <v>1605</v>
      </c>
      <c r="F128" s="6" t="s">
        <v>1606</v>
      </c>
      <c r="G128" s="6" t="s">
        <v>1607</v>
      </c>
      <c r="H128" s="6"/>
      <c r="I128" s="6" t="n">
        <v>0</v>
      </c>
    </row>
    <row r="129" customFormat="false" ht="23.25" hidden="false" customHeight="true" outlineLevel="0" collapsed="false">
      <c r="A129" s="6" t="s">
        <v>1603</v>
      </c>
      <c r="B129" s="6" t="s">
        <v>1342</v>
      </c>
      <c r="C129" s="6" t="s">
        <v>1689</v>
      </c>
      <c r="D129" s="6" t="s">
        <v>1604</v>
      </c>
      <c r="E129" s="6" t="s">
        <v>1605</v>
      </c>
      <c r="F129" s="6" t="s">
        <v>1606</v>
      </c>
      <c r="G129" s="6" t="s">
        <v>1607</v>
      </c>
      <c r="H129" s="6"/>
      <c r="I129" s="6" t="n">
        <v>0</v>
      </c>
    </row>
    <row r="130" customFormat="false" ht="23.25" hidden="false" customHeight="true" outlineLevel="0" collapsed="false">
      <c r="A130" s="6" t="s">
        <v>1603</v>
      </c>
      <c r="B130" s="6" t="s">
        <v>1344</v>
      </c>
      <c r="C130" s="6" t="s">
        <v>1345</v>
      </c>
      <c r="D130" s="6" t="s">
        <v>1604</v>
      </c>
      <c r="E130" s="6" t="s">
        <v>1605</v>
      </c>
      <c r="F130" s="6" t="s">
        <v>1606</v>
      </c>
      <c r="G130" s="6" t="s">
        <v>1607</v>
      </c>
      <c r="H130" s="6"/>
      <c r="I130" s="6" t="n">
        <v>0</v>
      </c>
    </row>
    <row r="131" customFormat="false" ht="23.25" hidden="false" customHeight="true" outlineLevel="0" collapsed="false">
      <c r="A131" s="6" t="s">
        <v>1603</v>
      </c>
      <c r="B131" s="6" t="s">
        <v>1344</v>
      </c>
      <c r="C131" s="6" t="s">
        <v>1690</v>
      </c>
      <c r="D131" s="6" t="s">
        <v>1604</v>
      </c>
      <c r="E131" s="6" t="s">
        <v>1605</v>
      </c>
      <c r="F131" s="6" t="s">
        <v>1606</v>
      </c>
      <c r="G131" s="6" t="s">
        <v>1607</v>
      </c>
      <c r="H131" s="6"/>
      <c r="I131" s="6" t="n">
        <v>0</v>
      </c>
    </row>
    <row r="132" customFormat="false" ht="23.25" hidden="false" customHeight="true" outlineLevel="0" collapsed="false">
      <c r="A132" s="6" t="s">
        <v>1603</v>
      </c>
      <c r="B132" s="6" t="s">
        <v>1346</v>
      </c>
      <c r="C132" s="6" t="s">
        <v>1347</v>
      </c>
      <c r="D132" s="6" t="s">
        <v>1604</v>
      </c>
      <c r="E132" s="6" t="s">
        <v>1605</v>
      </c>
      <c r="F132" s="6" t="s">
        <v>1606</v>
      </c>
      <c r="G132" s="6" t="s">
        <v>1607</v>
      </c>
      <c r="H132" s="6"/>
      <c r="I132" s="6" t="n">
        <v>0</v>
      </c>
    </row>
    <row r="133" customFormat="false" ht="23.25" hidden="false" customHeight="true" outlineLevel="0" collapsed="false">
      <c r="A133" s="6" t="s">
        <v>1603</v>
      </c>
      <c r="B133" s="6" t="s">
        <v>1348</v>
      </c>
      <c r="C133" s="6" t="s">
        <v>1349</v>
      </c>
      <c r="D133" s="6" t="s">
        <v>1604</v>
      </c>
      <c r="E133" s="6" t="s">
        <v>1605</v>
      </c>
      <c r="F133" s="6" t="s">
        <v>1606</v>
      </c>
      <c r="G133" s="6" t="s">
        <v>1607</v>
      </c>
      <c r="H133" s="6"/>
      <c r="I133" s="6" t="n">
        <v>0</v>
      </c>
    </row>
    <row r="134" customFormat="false" ht="23.25" hidden="false" customHeight="true" outlineLevel="0" collapsed="false">
      <c r="A134" s="6" t="s">
        <v>1603</v>
      </c>
      <c r="B134" s="6" t="s">
        <v>1350</v>
      </c>
      <c r="C134" s="6" t="s">
        <v>1351</v>
      </c>
      <c r="D134" s="6" t="s">
        <v>1604</v>
      </c>
      <c r="E134" s="6" t="s">
        <v>1605</v>
      </c>
      <c r="F134" s="6" t="s">
        <v>1606</v>
      </c>
      <c r="G134" s="6" t="s">
        <v>1607</v>
      </c>
      <c r="H134" s="6"/>
      <c r="I134" s="6" t="n">
        <v>0</v>
      </c>
    </row>
    <row r="135" customFormat="false" ht="23.25" hidden="false" customHeight="true" outlineLevel="0" collapsed="false">
      <c r="A135" s="6" t="s">
        <v>1603</v>
      </c>
      <c r="B135" s="6" t="s">
        <v>1352</v>
      </c>
      <c r="C135" s="6" t="s">
        <v>1353</v>
      </c>
      <c r="D135" s="6" t="s">
        <v>1604</v>
      </c>
      <c r="E135" s="6" t="s">
        <v>1605</v>
      </c>
      <c r="F135" s="6" t="s">
        <v>1606</v>
      </c>
      <c r="G135" s="6" t="s">
        <v>1607</v>
      </c>
      <c r="H135" s="6"/>
      <c r="I135" s="6" t="n">
        <v>0</v>
      </c>
    </row>
    <row r="136" customFormat="false" ht="23.25" hidden="false" customHeight="true" outlineLevel="0" collapsed="false">
      <c r="A136" s="6" t="s">
        <v>1603</v>
      </c>
      <c r="B136" s="6" t="s">
        <v>1139</v>
      </c>
      <c r="C136" s="6" t="s">
        <v>1140</v>
      </c>
      <c r="D136" s="6" t="s">
        <v>1604</v>
      </c>
      <c r="E136" s="6" t="s">
        <v>1605</v>
      </c>
      <c r="F136" s="6" t="s">
        <v>1606</v>
      </c>
      <c r="G136" s="6" t="s">
        <v>1607</v>
      </c>
      <c r="H136" s="6"/>
      <c r="I136" s="6" t="n">
        <v>1</v>
      </c>
    </row>
    <row r="137" customFormat="false" ht="23.25" hidden="false" customHeight="true" outlineLevel="0" collapsed="false">
      <c r="A137" s="6" t="s">
        <v>1603</v>
      </c>
      <c r="B137" s="6" t="s">
        <v>1139</v>
      </c>
      <c r="C137" s="6" t="s">
        <v>1691</v>
      </c>
      <c r="D137" s="6" t="s">
        <v>1604</v>
      </c>
      <c r="E137" s="6" t="s">
        <v>1605</v>
      </c>
      <c r="F137" s="6" t="s">
        <v>1606</v>
      </c>
      <c r="G137" s="6" t="s">
        <v>1607</v>
      </c>
      <c r="H137" s="6"/>
      <c r="I137" s="6" t="n">
        <v>0</v>
      </c>
    </row>
    <row r="138" customFormat="false" ht="23.25" hidden="false" customHeight="true" outlineLevel="0" collapsed="false">
      <c r="A138" s="6" t="s">
        <v>1603</v>
      </c>
      <c r="B138" s="6" t="s">
        <v>1139</v>
      </c>
      <c r="C138" s="6" t="s">
        <v>1692</v>
      </c>
      <c r="D138" s="6" t="s">
        <v>1604</v>
      </c>
      <c r="E138" s="6" t="s">
        <v>1605</v>
      </c>
      <c r="F138" s="6" t="s">
        <v>1606</v>
      </c>
      <c r="G138" s="6" t="s">
        <v>1607</v>
      </c>
      <c r="H138" s="6"/>
      <c r="I138" s="6" t="n">
        <v>0</v>
      </c>
    </row>
    <row r="139" customFormat="false" ht="23.25" hidden="false" customHeight="true" outlineLevel="0" collapsed="false">
      <c r="A139" s="6" t="s">
        <v>1603</v>
      </c>
      <c r="B139" s="6" t="s">
        <v>1139</v>
      </c>
      <c r="C139" s="6" t="s">
        <v>1693</v>
      </c>
      <c r="D139" s="6" t="s">
        <v>1604</v>
      </c>
      <c r="E139" s="6" t="s">
        <v>1605</v>
      </c>
      <c r="F139" s="6" t="s">
        <v>1606</v>
      </c>
      <c r="G139" s="6" t="s">
        <v>1607</v>
      </c>
      <c r="H139" s="6"/>
      <c r="I139" s="6" t="n">
        <v>0</v>
      </c>
    </row>
    <row r="140" customFormat="false" ht="23.25" hidden="false" customHeight="true" outlineLevel="0" collapsed="false">
      <c r="A140" s="6" t="s">
        <v>1603</v>
      </c>
      <c r="B140" s="6" t="s">
        <v>1139</v>
      </c>
      <c r="C140" s="6" t="s">
        <v>1694</v>
      </c>
      <c r="D140" s="6" t="s">
        <v>1604</v>
      </c>
      <c r="E140" s="6" t="s">
        <v>1605</v>
      </c>
      <c r="F140" s="6" t="s">
        <v>1606</v>
      </c>
      <c r="G140" s="6" t="s">
        <v>1607</v>
      </c>
      <c r="H140" s="6"/>
      <c r="I140" s="6" t="n">
        <v>0</v>
      </c>
    </row>
    <row r="141" customFormat="false" ht="23.25" hidden="false" customHeight="true" outlineLevel="0" collapsed="false">
      <c r="A141" s="6" t="s">
        <v>1603</v>
      </c>
      <c r="B141" s="6" t="s">
        <v>1139</v>
      </c>
      <c r="C141" s="6" t="s">
        <v>1695</v>
      </c>
      <c r="D141" s="6" t="s">
        <v>1604</v>
      </c>
      <c r="E141" s="6" t="s">
        <v>1605</v>
      </c>
      <c r="F141" s="6" t="s">
        <v>1606</v>
      </c>
      <c r="G141" s="6" t="s">
        <v>1607</v>
      </c>
      <c r="H141" s="6"/>
      <c r="I141" s="6" t="n">
        <v>0</v>
      </c>
    </row>
    <row r="142" customFormat="false" ht="23.25" hidden="false" customHeight="true" outlineLevel="0" collapsed="false">
      <c r="A142" s="6" t="s">
        <v>1603</v>
      </c>
      <c r="B142" s="6" t="s">
        <v>1139</v>
      </c>
      <c r="C142" s="6" t="s">
        <v>1696</v>
      </c>
      <c r="D142" s="6" t="s">
        <v>1604</v>
      </c>
      <c r="E142" s="6" t="s">
        <v>1605</v>
      </c>
      <c r="F142" s="6" t="s">
        <v>1606</v>
      </c>
      <c r="G142" s="6" t="s">
        <v>1607</v>
      </c>
      <c r="H142" s="6"/>
      <c r="I142" s="6" t="n">
        <v>0</v>
      </c>
    </row>
    <row r="143" customFormat="false" ht="23.25" hidden="false" customHeight="true" outlineLevel="0" collapsed="false">
      <c r="A143" s="6" t="s">
        <v>1603</v>
      </c>
      <c r="B143" s="6" t="s">
        <v>1139</v>
      </c>
      <c r="C143" s="6" t="s">
        <v>1697</v>
      </c>
      <c r="D143" s="6" t="s">
        <v>1604</v>
      </c>
      <c r="E143" s="6" t="s">
        <v>1605</v>
      </c>
      <c r="F143" s="6" t="s">
        <v>1606</v>
      </c>
      <c r="G143" s="6" t="s">
        <v>1607</v>
      </c>
      <c r="H143" s="6"/>
      <c r="I143" s="6" t="n">
        <v>0</v>
      </c>
    </row>
    <row r="144" customFormat="false" ht="23.25" hidden="false" customHeight="true" outlineLevel="0" collapsed="false">
      <c r="A144" s="6" t="s">
        <v>1603</v>
      </c>
      <c r="B144" s="6" t="s">
        <v>1139</v>
      </c>
      <c r="C144" s="6" t="s">
        <v>1698</v>
      </c>
      <c r="D144" s="6" t="s">
        <v>1604</v>
      </c>
      <c r="E144" s="6" t="s">
        <v>1605</v>
      </c>
      <c r="F144" s="6" t="s">
        <v>1606</v>
      </c>
      <c r="G144" s="6" t="s">
        <v>1607</v>
      </c>
      <c r="H144" s="6"/>
      <c r="I144" s="6" t="n">
        <v>0</v>
      </c>
    </row>
    <row r="145" customFormat="false" ht="23.25" hidden="false" customHeight="true" outlineLevel="0" collapsed="false">
      <c r="A145" s="6" t="s">
        <v>1603</v>
      </c>
      <c r="B145" s="6" t="s">
        <v>1139</v>
      </c>
      <c r="C145" s="6" t="s">
        <v>1699</v>
      </c>
      <c r="D145" s="6" t="s">
        <v>1604</v>
      </c>
      <c r="E145" s="6" t="s">
        <v>1605</v>
      </c>
      <c r="F145" s="6" t="s">
        <v>1606</v>
      </c>
      <c r="G145" s="6" t="s">
        <v>1607</v>
      </c>
      <c r="H145" s="6"/>
      <c r="I145" s="6" t="n">
        <v>0</v>
      </c>
    </row>
    <row r="146" customFormat="false" ht="23.25" hidden="false" customHeight="true" outlineLevel="0" collapsed="false">
      <c r="A146" s="6" t="s">
        <v>1603</v>
      </c>
      <c r="B146" s="6" t="s">
        <v>1139</v>
      </c>
      <c r="C146" s="6" t="s">
        <v>1700</v>
      </c>
      <c r="D146" s="6" t="s">
        <v>1604</v>
      </c>
      <c r="E146" s="6" t="s">
        <v>1605</v>
      </c>
      <c r="F146" s="6" t="s">
        <v>1606</v>
      </c>
      <c r="G146" s="6" t="s">
        <v>1607</v>
      </c>
      <c r="H146" s="6"/>
      <c r="I146" s="6" t="n">
        <v>0</v>
      </c>
    </row>
    <row r="147" customFormat="false" ht="23.25" hidden="false" customHeight="true" outlineLevel="0" collapsed="false">
      <c r="A147" s="6" t="s">
        <v>1603</v>
      </c>
      <c r="B147" s="6" t="s">
        <v>1139</v>
      </c>
      <c r="C147" s="6" t="s">
        <v>1701</v>
      </c>
      <c r="D147" s="6" t="s">
        <v>1604</v>
      </c>
      <c r="E147" s="6" t="s">
        <v>1605</v>
      </c>
      <c r="F147" s="6" t="s">
        <v>1606</v>
      </c>
      <c r="G147" s="6" t="s">
        <v>1607</v>
      </c>
      <c r="H147" s="6"/>
      <c r="I147" s="6" t="n">
        <v>0</v>
      </c>
    </row>
    <row r="148" customFormat="false" ht="23.25" hidden="false" customHeight="true" outlineLevel="0" collapsed="false">
      <c r="A148" s="6" t="s">
        <v>1603</v>
      </c>
      <c r="B148" s="6" t="s">
        <v>1143</v>
      </c>
      <c r="C148" s="6" t="s">
        <v>1144</v>
      </c>
      <c r="D148" s="6" t="s">
        <v>1604</v>
      </c>
      <c r="E148" s="6" t="s">
        <v>1605</v>
      </c>
      <c r="F148" s="6" t="s">
        <v>1606</v>
      </c>
      <c r="G148" s="6" t="s">
        <v>1607</v>
      </c>
      <c r="H148" s="6"/>
      <c r="I148" s="6" t="n">
        <v>0</v>
      </c>
    </row>
    <row r="149" customFormat="false" ht="23.25" hidden="false" customHeight="true" outlineLevel="0" collapsed="false">
      <c r="A149" s="6" t="s">
        <v>1603</v>
      </c>
      <c r="B149" s="6" t="s">
        <v>1145</v>
      </c>
      <c r="C149" s="6" t="s">
        <v>1146</v>
      </c>
      <c r="D149" s="6" t="s">
        <v>1604</v>
      </c>
      <c r="E149" s="6" t="s">
        <v>1605</v>
      </c>
      <c r="F149" s="6" t="s">
        <v>1606</v>
      </c>
      <c r="G149" s="6" t="s">
        <v>1607</v>
      </c>
      <c r="H149" s="6"/>
      <c r="I149" s="6" t="n">
        <v>0</v>
      </c>
    </row>
    <row r="150" customFormat="false" ht="23.25" hidden="false" customHeight="true" outlineLevel="0" collapsed="false">
      <c r="A150" s="6" t="s">
        <v>1603</v>
      </c>
      <c r="B150" s="6" t="s">
        <v>1147</v>
      </c>
      <c r="C150" s="6" t="s">
        <v>1148</v>
      </c>
      <c r="D150" s="6" t="s">
        <v>1604</v>
      </c>
      <c r="E150" s="6" t="s">
        <v>1605</v>
      </c>
      <c r="F150" s="6" t="s">
        <v>1606</v>
      </c>
      <c r="G150" s="6" t="s">
        <v>1607</v>
      </c>
      <c r="H150" s="6"/>
      <c r="I150" s="6" t="n">
        <v>2</v>
      </c>
    </row>
    <row r="151" customFormat="false" ht="23.25" hidden="false" customHeight="true" outlineLevel="0" collapsed="false">
      <c r="A151" s="6" t="s">
        <v>1603</v>
      </c>
      <c r="B151" s="6" t="s">
        <v>1149</v>
      </c>
      <c r="C151" s="6" t="s">
        <v>1150</v>
      </c>
      <c r="D151" s="6" t="s">
        <v>1604</v>
      </c>
      <c r="E151" s="6" t="s">
        <v>1605</v>
      </c>
      <c r="F151" s="6" t="s">
        <v>1606</v>
      </c>
      <c r="G151" s="6" t="s">
        <v>1607</v>
      </c>
      <c r="H151" s="6"/>
      <c r="I151" s="6" t="n">
        <v>0</v>
      </c>
    </row>
    <row r="152" customFormat="false" ht="23.25" hidden="false" customHeight="true" outlineLevel="0" collapsed="false">
      <c r="A152" s="6" t="s">
        <v>1603</v>
      </c>
      <c r="B152" s="6" t="s">
        <v>1151</v>
      </c>
      <c r="C152" s="6" t="s">
        <v>1152</v>
      </c>
      <c r="D152" s="6" t="s">
        <v>1604</v>
      </c>
      <c r="E152" s="6" t="s">
        <v>1605</v>
      </c>
      <c r="F152" s="6" t="s">
        <v>1606</v>
      </c>
      <c r="G152" s="6" t="s">
        <v>1607</v>
      </c>
      <c r="H152" s="6"/>
      <c r="I152" s="6" t="n">
        <v>0</v>
      </c>
    </row>
    <row r="153" customFormat="false" ht="23.25" hidden="false" customHeight="true" outlineLevel="0" collapsed="false">
      <c r="A153" s="6" t="s">
        <v>1603</v>
      </c>
      <c r="B153" s="6" t="s">
        <v>1153</v>
      </c>
      <c r="C153" s="6" t="s">
        <v>1154</v>
      </c>
      <c r="D153" s="6" t="s">
        <v>1604</v>
      </c>
      <c r="E153" s="6" t="s">
        <v>1605</v>
      </c>
      <c r="F153" s="6" t="s">
        <v>1606</v>
      </c>
      <c r="G153" s="6" t="s">
        <v>1607</v>
      </c>
      <c r="H153" s="6"/>
      <c r="I153" s="6" t="n">
        <v>0</v>
      </c>
    </row>
    <row r="154" customFormat="false" ht="23.25" hidden="false" customHeight="true" outlineLevel="0" collapsed="false">
      <c r="A154" s="6" t="s">
        <v>1603</v>
      </c>
      <c r="B154" s="6" t="s">
        <v>1153</v>
      </c>
      <c r="C154" s="6" t="s">
        <v>1702</v>
      </c>
      <c r="D154" s="6" t="s">
        <v>1604</v>
      </c>
      <c r="E154" s="6" t="s">
        <v>1605</v>
      </c>
      <c r="F154" s="6" t="s">
        <v>1606</v>
      </c>
      <c r="G154" s="6" t="s">
        <v>1607</v>
      </c>
      <c r="H154" s="6"/>
      <c r="I154" s="6" t="n">
        <v>0</v>
      </c>
    </row>
    <row r="155" customFormat="false" ht="23.25" hidden="false" customHeight="true" outlineLevel="0" collapsed="false">
      <c r="A155" s="6" t="s">
        <v>1603</v>
      </c>
      <c r="B155" s="6" t="s">
        <v>1153</v>
      </c>
      <c r="C155" s="6" t="s">
        <v>1703</v>
      </c>
      <c r="D155" s="6" t="s">
        <v>1604</v>
      </c>
      <c r="E155" s="6" t="s">
        <v>1605</v>
      </c>
      <c r="F155" s="6" t="s">
        <v>1606</v>
      </c>
      <c r="G155" s="6" t="s">
        <v>1607</v>
      </c>
      <c r="H155" s="6"/>
      <c r="I155" s="6" t="n">
        <v>0</v>
      </c>
    </row>
    <row r="156" customFormat="false" ht="23.25" hidden="false" customHeight="true" outlineLevel="0" collapsed="false">
      <c r="A156" s="6" t="s">
        <v>1603</v>
      </c>
      <c r="B156" s="6" t="s">
        <v>1153</v>
      </c>
      <c r="C156" s="6" t="s">
        <v>1704</v>
      </c>
      <c r="D156" s="6" t="s">
        <v>1604</v>
      </c>
      <c r="E156" s="6" t="s">
        <v>1605</v>
      </c>
      <c r="F156" s="6" t="s">
        <v>1606</v>
      </c>
      <c r="G156" s="6" t="s">
        <v>1607</v>
      </c>
      <c r="H156" s="6"/>
      <c r="I156" s="6" t="n">
        <v>0</v>
      </c>
    </row>
    <row r="157" customFormat="false" ht="23.25" hidden="false" customHeight="true" outlineLevel="0" collapsed="false">
      <c r="A157" s="6" t="s">
        <v>1603</v>
      </c>
      <c r="B157" s="6" t="s">
        <v>1153</v>
      </c>
      <c r="C157" s="6" t="s">
        <v>1705</v>
      </c>
      <c r="D157" s="6" t="s">
        <v>1604</v>
      </c>
      <c r="E157" s="6" t="s">
        <v>1605</v>
      </c>
      <c r="F157" s="6" t="s">
        <v>1606</v>
      </c>
      <c r="G157" s="6" t="s">
        <v>1607</v>
      </c>
      <c r="H157" s="6"/>
      <c r="I157" s="6" t="n">
        <v>0</v>
      </c>
    </row>
    <row r="158" customFormat="false" ht="23.25" hidden="false" customHeight="true" outlineLevel="0" collapsed="false">
      <c r="A158" s="6" t="s">
        <v>1603</v>
      </c>
      <c r="B158" s="6" t="s">
        <v>1153</v>
      </c>
      <c r="C158" s="6" t="s">
        <v>1706</v>
      </c>
      <c r="D158" s="6" t="s">
        <v>1604</v>
      </c>
      <c r="E158" s="6" t="s">
        <v>1605</v>
      </c>
      <c r="F158" s="6" t="s">
        <v>1606</v>
      </c>
      <c r="G158" s="6" t="s">
        <v>1607</v>
      </c>
      <c r="H158" s="6"/>
      <c r="I158" s="6" t="n">
        <v>0</v>
      </c>
    </row>
    <row r="159" customFormat="false" ht="23.25" hidden="false" customHeight="true" outlineLevel="0" collapsed="false">
      <c r="A159" s="6" t="s">
        <v>1603</v>
      </c>
      <c r="B159" s="6" t="s">
        <v>1153</v>
      </c>
      <c r="C159" s="6" t="s">
        <v>1707</v>
      </c>
      <c r="D159" s="6" t="s">
        <v>1604</v>
      </c>
      <c r="E159" s="6" t="s">
        <v>1605</v>
      </c>
      <c r="F159" s="6" t="s">
        <v>1606</v>
      </c>
      <c r="G159" s="6" t="s">
        <v>1607</v>
      </c>
      <c r="H159" s="6"/>
      <c r="I159" s="6" t="n">
        <v>0</v>
      </c>
    </row>
    <row r="160" customFormat="false" ht="23.25" hidden="false" customHeight="true" outlineLevel="0" collapsed="false">
      <c r="A160" s="6" t="s">
        <v>1603</v>
      </c>
      <c r="B160" s="6" t="s">
        <v>1153</v>
      </c>
      <c r="C160" s="6" t="s">
        <v>1708</v>
      </c>
      <c r="D160" s="6" t="s">
        <v>1604</v>
      </c>
      <c r="E160" s="6" t="s">
        <v>1605</v>
      </c>
      <c r="F160" s="6" t="s">
        <v>1606</v>
      </c>
      <c r="G160" s="6" t="s">
        <v>1607</v>
      </c>
      <c r="H160" s="6"/>
      <c r="I160" s="6" t="n">
        <v>0</v>
      </c>
    </row>
    <row r="161" customFormat="false" ht="23.25" hidden="false" customHeight="true" outlineLevel="0" collapsed="false">
      <c r="A161" s="6" t="s">
        <v>1603</v>
      </c>
      <c r="B161" s="6" t="s">
        <v>1155</v>
      </c>
      <c r="C161" s="6" t="s">
        <v>1156</v>
      </c>
      <c r="D161" s="6" t="s">
        <v>1604</v>
      </c>
      <c r="E161" s="6" t="s">
        <v>1605</v>
      </c>
      <c r="F161" s="6" t="s">
        <v>1606</v>
      </c>
      <c r="G161" s="6" t="s">
        <v>1607</v>
      </c>
      <c r="H161" s="6"/>
      <c r="I161" s="6" t="n">
        <v>0</v>
      </c>
    </row>
    <row r="162" customFormat="false" ht="23.25" hidden="false" customHeight="true" outlineLevel="0" collapsed="false">
      <c r="A162" s="6" t="s">
        <v>1603</v>
      </c>
      <c r="B162" s="6" t="s">
        <v>1155</v>
      </c>
      <c r="C162" s="6" t="s">
        <v>1709</v>
      </c>
      <c r="D162" s="6" t="s">
        <v>1604</v>
      </c>
      <c r="E162" s="6" t="s">
        <v>1605</v>
      </c>
      <c r="F162" s="6" t="s">
        <v>1606</v>
      </c>
      <c r="G162" s="6" t="s">
        <v>1607</v>
      </c>
      <c r="H162" s="6"/>
      <c r="I162" s="6" t="n">
        <v>0</v>
      </c>
    </row>
    <row r="163" customFormat="false" ht="23.25" hidden="false" customHeight="true" outlineLevel="0" collapsed="false">
      <c r="A163" s="6" t="s">
        <v>1603</v>
      </c>
      <c r="B163" s="6" t="s">
        <v>1155</v>
      </c>
      <c r="C163" s="6" t="s">
        <v>1710</v>
      </c>
      <c r="D163" s="6" t="s">
        <v>1604</v>
      </c>
      <c r="E163" s="6" t="s">
        <v>1605</v>
      </c>
      <c r="F163" s="6" t="s">
        <v>1606</v>
      </c>
      <c r="G163" s="6" t="s">
        <v>1607</v>
      </c>
      <c r="H163" s="6"/>
      <c r="I163" s="6" t="n">
        <v>0</v>
      </c>
    </row>
    <row r="164" customFormat="false" ht="23.25" hidden="false" customHeight="true" outlineLevel="0" collapsed="false">
      <c r="A164" s="6" t="s">
        <v>1603</v>
      </c>
      <c r="B164" s="6" t="s">
        <v>1155</v>
      </c>
      <c r="C164" s="6" t="s">
        <v>1711</v>
      </c>
      <c r="D164" s="6" t="s">
        <v>1604</v>
      </c>
      <c r="E164" s="6" t="s">
        <v>1605</v>
      </c>
      <c r="F164" s="6" t="s">
        <v>1606</v>
      </c>
      <c r="G164" s="6" t="s">
        <v>1607</v>
      </c>
      <c r="H164" s="6"/>
      <c r="I164" s="6" t="n">
        <v>0</v>
      </c>
    </row>
    <row r="165" customFormat="false" ht="23.25" hidden="false" customHeight="true" outlineLevel="0" collapsed="false">
      <c r="A165" s="6" t="s">
        <v>1603</v>
      </c>
      <c r="B165" s="6" t="s">
        <v>1155</v>
      </c>
      <c r="C165" s="6" t="s">
        <v>1712</v>
      </c>
      <c r="D165" s="6" t="s">
        <v>1604</v>
      </c>
      <c r="E165" s="6" t="s">
        <v>1605</v>
      </c>
      <c r="F165" s="6" t="s">
        <v>1606</v>
      </c>
      <c r="G165" s="6" t="s">
        <v>1607</v>
      </c>
      <c r="H165" s="6"/>
      <c r="I165" s="6" t="n">
        <v>0</v>
      </c>
    </row>
    <row r="166" customFormat="false" ht="23.25" hidden="false" customHeight="true" outlineLevel="0" collapsed="false">
      <c r="A166" s="6" t="s">
        <v>1603</v>
      </c>
      <c r="B166" s="6" t="s">
        <v>1157</v>
      </c>
      <c r="C166" s="6" t="s">
        <v>1158</v>
      </c>
      <c r="D166" s="6" t="s">
        <v>1604</v>
      </c>
      <c r="E166" s="6" t="s">
        <v>1605</v>
      </c>
      <c r="F166" s="6" t="s">
        <v>1606</v>
      </c>
      <c r="G166" s="6" t="s">
        <v>1607</v>
      </c>
      <c r="H166" s="6"/>
      <c r="I166" s="6" t="n">
        <v>0</v>
      </c>
    </row>
    <row r="167" customFormat="false" ht="23.25" hidden="false" customHeight="true" outlineLevel="0" collapsed="false">
      <c r="A167" s="6" t="s">
        <v>1603</v>
      </c>
      <c r="B167" s="6" t="s">
        <v>1159</v>
      </c>
      <c r="C167" s="6" t="s">
        <v>1160</v>
      </c>
      <c r="D167" s="6" t="s">
        <v>1604</v>
      </c>
      <c r="E167" s="6" t="s">
        <v>1605</v>
      </c>
      <c r="F167" s="6" t="s">
        <v>1606</v>
      </c>
      <c r="G167" s="6" t="s">
        <v>1607</v>
      </c>
      <c r="H167" s="6"/>
      <c r="I167" s="6" t="n">
        <v>0</v>
      </c>
    </row>
    <row r="168" customFormat="false" ht="23.25" hidden="false" customHeight="true" outlineLevel="0" collapsed="false">
      <c r="A168" s="6" t="s">
        <v>1603</v>
      </c>
      <c r="B168" s="6" t="s">
        <v>924</v>
      </c>
      <c r="C168" s="6" t="s">
        <v>925</v>
      </c>
      <c r="D168" s="6" t="s">
        <v>1604</v>
      </c>
      <c r="E168" s="6" t="s">
        <v>1605</v>
      </c>
      <c r="F168" s="6" t="s">
        <v>1606</v>
      </c>
      <c r="G168" s="6" t="s">
        <v>1607</v>
      </c>
      <c r="H168" s="6"/>
      <c r="I168" s="6" t="n">
        <v>2</v>
      </c>
    </row>
    <row r="169" customFormat="false" ht="23.25" hidden="false" customHeight="true" outlineLevel="0" collapsed="false">
      <c r="A169" s="6" t="s">
        <v>1603</v>
      </c>
      <c r="B169" s="6" t="s">
        <v>928</v>
      </c>
      <c r="C169" s="6" t="s">
        <v>929</v>
      </c>
      <c r="D169" s="6" t="s">
        <v>1604</v>
      </c>
      <c r="E169" s="6" t="s">
        <v>1605</v>
      </c>
      <c r="F169" s="6" t="s">
        <v>1606</v>
      </c>
      <c r="G169" s="6" t="s">
        <v>1607</v>
      </c>
      <c r="H169" s="6"/>
      <c r="I169" s="6" t="n">
        <v>1</v>
      </c>
    </row>
    <row r="170" customFormat="false" ht="23.25" hidden="false" customHeight="true" outlineLevel="0" collapsed="false">
      <c r="A170" s="6" t="s">
        <v>1603</v>
      </c>
      <c r="B170" s="6" t="s">
        <v>930</v>
      </c>
      <c r="C170" s="6" t="s">
        <v>931</v>
      </c>
      <c r="D170" s="6" t="s">
        <v>1604</v>
      </c>
      <c r="E170" s="6" t="s">
        <v>1605</v>
      </c>
      <c r="F170" s="6" t="s">
        <v>1606</v>
      </c>
      <c r="G170" s="6" t="s">
        <v>1607</v>
      </c>
      <c r="H170" s="6"/>
      <c r="I170" s="6" t="n">
        <v>0</v>
      </c>
    </row>
    <row r="171" customFormat="false" ht="23.25" hidden="false" customHeight="true" outlineLevel="0" collapsed="false">
      <c r="A171" s="6" t="s">
        <v>1603</v>
      </c>
      <c r="B171" s="6" t="s">
        <v>932</v>
      </c>
      <c r="C171" s="6" t="s">
        <v>933</v>
      </c>
      <c r="D171" s="6" t="s">
        <v>1604</v>
      </c>
      <c r="E171" s="6" t="s">
        <v>1605</v>
      </c>
      <c r="F171" s="6" t="s">
        <v>1606</v>
      </c>
      <c r="G171" s="6" t="s">
        <v>1607</v>
      </c>
      <c r="H171" s="6"/>
      <c r="I171" s="6" t="n">
        <v>0</v>
      </c>
    </row>
    <row r="172" customFormat="false" ht="23.25" hidden="false" customHeight="true" outlineLevel="0" collapsed="false">
      <c r="A172" s="6" t="s">
        <v>1603</v>
      </c>
      <c r="B172" s="6" t="s">
        <v>934</v>
      </c>
      <c r="C172" s="6" t="s">
        <v>935</v>
      </c>
      <c r="D172" s="6" t="s">
        <v>1604</v>
      </c>
      <c r="E172" s="6" t="s">
        <v>1605</v>
      </c>
      <c r="F172" s="6" t="s">
        <v>1606</v>
      </c>
      <c r="G172" s="6" t="s">
        <v>1607</v>
      </c>
      <c r="H172" s="6"/>
      <c r="I172" s="6" t="n">
        <v>0</v>
      </c>
    </row>
    <row r="173" customFormat="false" ht="23.25" hidden="false" customHeight="true" outlineLevel="0" collapsed="false">
      <c r="A173" s="6" t="s">
        <v>1603</v>
      </c>
      <c r="B173" s="6" t="s">
        <v>936</v>
      </c>
      <c r="C173" s="6" t="s">
        <v>937</v>
      </c>
      <c r="D173" s="6" t="s">
        <v>1604</v>
      </c>
      <c r="E173" s="6" t="s">
        <v>1605</v>
      </c>
      <c r="F173" s="6" t="s">
        <v>1606</v>
      </c>
      <c r="G173" s="6" t="s">
        <v>1607</v>
      </c>
      <c r="H173" s="6"/>
      <c r="I173" s="6" t="n">
        <v>0</v>
      </c>
    </row>
    <row r="174" customFormat="false" ht="23.25" hidden="false" customHeight="true" outlineLevel="0" collapsed="false">
      <c r="A174" s="6" t="s">
        <v>1603</v>
      </c>
      <c r="B174" s="6" t="s">
        <v>938</v>
      </c>
      <c r="C174" s="6" t="s">
        <v>939</v>
      </c>
      <c r="D174" s="6" t="s">
        <v>1604</v>
      </c>
      <c r="E174" s="6" t="s">
        <v>1605</v>
      </c>
      <c r="F174" s="6" t="s">
        <v>1606</v>
      </c>
      <c r="G174" s="6" t="s">
        <v>1607</v>
      </c>
      <c r="H174" s="6"/>
      <c r="I174" s="6" t="n">
        <v>0</v>
      </c>
    </row>
    <row r="175" customFormat="false" ht="23.25" hidden="false" customHeight="true" outlineLevel="0" collapsed="false">
      <c r="A175" s="6" t="s">
        <v>1603</v>
      </c>
      <c r="B175" s="6" t="s">
        <v>940</v>
      </c>
      <c r="C175" s="6" t="s">
        <v>941</v>
      </c>
      <c r="D175" s="6" t="s">
        <v>1604</v>
      </c>
      <c r="E175" s="6" t="s">
        <v>1605</v>
      </c>
      <c r="F175" s="6" t="s">
        <v>1606</v>
      </c>
      <c r="G175" s="6" t="s">
        <v>1607</v>
      </c>
      <c r="H175" s="6"/>
      <c r="I175" s="6" t="n">
        <v>0</v>
      </c>
    </row>
    <row r="176" customFormat="false" ht="23.25" hidden="false" customHeight="true" outlineLevel="0" collapsed="false">
      <c r="A176" s="6" t="s">
        <v>1603</v>
      </c>
      <c r="B176" s="6" t="s">
        <v>942</v>
      </c>
      <c r="C176" s="6" t="s">
        <v>943</v>
      </c>
      <c r="D176" s="6" t="s">
        <v>1604</v>
      </c>
      <c r="E176" s="6" t="s">
        <v>1605</v>
      </c>
      <c r="F176" s="6" t="s">
        <v>1606</v>
      </c>
      <c r="G176" s="6" t="s">
        <v>1607</v>
      </c>
      <c r="H176" s="6"/>
      <c r="I176" s="6" t="n">
        <v>0</v>
      </c>
    </row>
    <row r="177" customFormat="false" ht="23.25" hidden="false" customHeight="true" outlineLevel="0" collapsed="false">
      <c r="A177" s="6" t="s">
        <v>1603</v>
      </c>
      <c r="B177" s="6" t="s">
        <v>944</v>
      </c>
      <c r="C177" s="6" t="s">
        <v>945</v>
      </c>
      <c r="D177" s="6" t="s">
        <v>1604</v>
      </c>
      <c r="E177" s="6" t="s">
        <v>1605</v>
      </c>
      <c r="F177" s="6" t="s">
        <v>1606</v>
      </c>
      <c r="G177" s="6" t="s">
        <v>1607</v>
      </c>
      <c r="H177" s="6"/>
      <c r="I177" s="6" t="n">
        <v>0</v>
      </c>
    </row>
    <row r="178" customFormat="false" ht="23.25" hidden="false" customHeight="true" outlineLevel="0" collapsed="false">
      <c r="A178" s="6" t="s">
        <v>1603</v>
      </c>
      <c r="B178" s="6" t="s">
        <v>946</v>
      </c>
      <c r="C178" s="6" t="s">
        <v>947</v>
      </c>
      <c r="D178" s="6" t="s">
        <v>1604</v>
      </c>
      <c r="E178" s="6" t="s">
        <v>1605</v>
      </c>
      <c r="F178" s="6" t="s">
        <v>1606</v>
      </c>
      <c r="G178" s="6" t="s">
        <v>1607</v>
      </c>
      <c r="H178" s="6"/>
      <c r="I178" s="6" t="n">
        <v>0</v>
      </c>
    </row>
    <row r="179" customFormat="false" ht="23.25" hidden="false" customHeight="true" outlineLevel="0" collapsed="false">
      <c r="A179" s="6" t="s">
        <v>1603</v>
      </c>
      <c r="B179" s="6" t="s">
        <v>948</v>
      </c>
      <c r="C179" s="6" t="s">
        <v>949</v>
      </c>
      <c r="D179" s="6" t="s">
        <v>1604</v>
      </c>
      <c r="E179" s="6" t="s">
        <v>1605</v>
      </c>
      <c r="F179" s="6" t="s">
        <v>1606</v>
      </c>
      <c r="G179" s="6" t="s">
        <v>1607</v>
      </c>
      <c r="H179" s="6"/>
      <c r="I179" s="6" t="n">
        <v>1</v>
      </c>
    </row>
    <row r="180" customFormat="false" ht="23.25" hidden="false" customHeight="true" outlineLevel="0" collapsed="false">
      <c r="A180" s="6" t="s">
        <v>1603</v>
      </c>
      <c r="B180" s="6" t="s">
        <v>950</v>
      </c>
      <c r="C180" s="6" t="s">
        <v>951</v>
      </c>
      <c r="D180" s="6" t="s">
        <v>1604</v>
      </c>
      <c r="E180" s="6" t="s">
        <v>1605</v>
      </c>
      <c r="F180" s="6" t="s">
        <v>1606</v>
      </c>
      <c r="G180" s="6" t="s">
        <v>1607</v>
      </c>
      <c r="H180" s="6"/>
      <c r="I180" s="6" t="n">
        <v>0</v>
      </c>
    </row>
    <row r="181" customFormat="false" ht="23.25" hidden="false" customHeight="true" outlineLevel="0" collapsed="false">
      <c r="A181" s="6" t="s">
        <v>1603</v>
      </c>
      <c r="B181" s="6" t="s">
        <v>950</v>
      </c>
      <c r="C181" s="6" t="s">
        <v>1713</v>
      </c>
      <c r="D181" s="6" t="s">
        <v>1604</v>
      </c>
      <c r="E181" s="6" t="s">
        <v>1605</v>
      </c>
      <c r="F181" s="6" t="s">
        <v>1606</v>
      </c>
      <c r="G181" s="6" t="s">
        <v>1607</v>
      </c>
      <c r="H181" s="6"/>
      <c r="I181" s="6" t="n">
        <v>0</v>
      </c>
    </row>
    <row r="182" customFormat="false" ht="23.25" hidden="false" customHeight="true" outlineLevel="0" collapsed="false">
      <c r="A182" s="6" t="s">
        <v>1603</v>
      </c>
      <c r="B182" s="6" t="s">
        <v>950</v>
      </c>
      <c r="C182" s="6" t="s">
        <v>1714</v>
      </c>
      <c r="D182" s="6" t="s">
        <v>1604</v>
      </c>
      <c r="E182" s="6" t="s">
        <v>1605</v>
      </c>
      <c r="F182" s="6" t="s">
        <v>1606</v>
      </c>
      <c r="G182" s="6" t="s">
        <v>1607</v>
      </c>
      <c r="H182" s="6"/>
      <c r="I182" s="6" t="n">
        <v>0</v>
      </c>
    </row>
    <row r="183" customFormat="false" ht="23.25" hidden="false" customHeight="true" outlineLevel="0" collapsed="false">
      <c r="A183" s="6" t="s">
        <v>1603</v>
      </c>
      <c r="B183" s="6" t="s">
        <v>950</v>
      </c>
      <c r="C183" s="6" t="s">
        <v>1715</v>
      </c>
      <c r="D183" s="6" t="s">
        <v>1604</v>
      </c>
      <c r="E183" s="6" t="s">
        <v>1605</v>
      </c>
      <c r="F183" s="6" t="s">
        <v>1606</v>
      </c>
      <c r="G183" s="6" t="s">
        <v>1607</v>
      </c>
      <c r="H183" s="6"/>
      <c r="I183" s="6" t="n">
        <v>0</v>
      </c>
    </row>
    <row r="184" customFormat="false" ht="23.25" hidden="false" customHeight="true" outlineLevel="0" collapsed="false">
      <c r="A184" s="6" t="s">
        <v>1603</v>
      </c>
      <c r="B184" s="6" t="s">
        <v>950</v>
      </c>
      <c r="C184" s="6" t="s">
        <v>1716</v>
      </c>
      <c r="D184" s="6" t="s">
        <v>1604</v>
      </c>
      <c r="E184" s="6" t="s">
        <v>1605</v>
      </c>
      <c r="F184" s="6" t="s">
        <v>1606</v>
      </c>
      <c r="G184" s="6" t="s">
        <v>1607</v>
      </c>
      <c r="H184" s="6"/>
      <c r="I184" s="6" t="n">
        <v>0</v>
      </c>
    </row>
    <row r="185" customFormat="false" ht="23.25" hidden="false" customHeight="true" outlineLevel="0" collapsed="false">
      <c r="A185" s="6" t="s">
        <v>1603</v>
      </c>
      <c r="B185" s="6" t="s">
        <v>950</v>
      </c>
      <c r="C185" s="6" t="s">
        <v>1717</v>
      </c>
      <c r="D185" s="6" t="s">
        <v>1604</v>
      </c>
      <c r="E185" s="6" t="s">
        <v>1605</v>
      </c>
      <c r="F185" s="6" t="s">
        <v>1606</v>
      </c>
      <c r="G185" s="6" t="s">
        <v>1607</v>
      </c>
      <c r="H185" s="6"/>
      <c r="I185" s="6" t="n">
        <v>0</v>
      </c>
    </row>
    <row r="186" customFormat="false" ht="23.25" hidden="false" customHeight="true" outlineLevel="0" collapsed="false">
      <c r="A186" s="6" t="s">
        <v>1603</v>
      </c>
      <c r="B186" s="6" t="s">
        <v>950</v>
      </c>
      <c r="C186" s="6" t="s">
        <v>1718</v>
      </c>
      <c r="D186" s="6" t="s">
        <v>1604</v>
      </c>
      <c r="E186" s="6" t="s">
        <v>1605</v>
      </c>
      <c r="F186" s="6" t="s">
        <v>1606</v>
      </c>
      <c r="G186" s="6" t="s">
        <v>1607</v>
      </c>
      <c r="H186" s="6"/>
      <c r="I186" s="6" t="n">
        <v>0</v>
      </c>
    </row>
    <row r="187" customFormat="false" ht="23.25" hidden="false" customHeight="true" outlineLevel="0" collapsed="false">
      <c r="A187" s="6" t="s">
        <v>1603</v>
      </c>
      <c r="B187" s="6" t="s">
        <v>950</v>
      </c>
      <c r="C187" s="6" t="s">
        <v>1719</v>
      </c>
      <c r="D187" s="6" t="s">
        <v>1604</v>
      </c>
      <c r="E187" s="6" t="s">
        <v>1605</v>
      </c>
      <c r="F187" s="6" t="s">
        <v>1606</v>
      </c>
      <c r="G187" s="6" t="s">
        <v>1607</v>
      </c>
      <c r="H187" s="6"/>
      <c r="I187" s="6" t="n">
        <v>0</v>
      </c>
    </row>
    <row r="188" customFormat="false" ht="23.25" hidden="false" customHeight="true" outlineLevel="0" collapsed="false">
      <c r="A188" s="6" t="s">
        <v>1603</v>
      </c>
      <c r="B188" s="6" t="s">
        <v>950</v>
      </c>
      <c r="C188" s="6" t="s">
        <v>1720</v>
      </c>
      <c r="D188" s="6" t="s">
        <v>1604</v>
      </c>
      <c r="E188" s="6" t="s">
        <v>1605</v>
      </c>
      <c r="F188" s="6" t="s">
        <v>1606</v>
      </c>
      <c r="G188" s="6" t="s">
        <v>1607</v>
      </c>
      <c r="H188" s="6"/>
      <c r="I188" s="6" t="n">
        <v>0</v>
      </c>
    </row>
    <row r="189" customFormat="false" ht="23.25" hidden="false" customHeight="true" outlineLevel="0" collapsed="false">
      <c r="A189" s="6" t="s">
        <v>1603</v>
      </c>
      <c r="B189" s="6" t="s">
        <v>952</v>
      </c>
      <c r="C189" s="6" t="s">
        <v>953</v>
      </c>
      <c r="D189" s="6" t="s">
        <v>1604</v>
      </c>
      <c r="E189" s="6" t="s">
        <v>1605</v>
      </c>
      <c r="F189" s="6" t="s">
        <v>1606</v>
      </c>
      <c r="G189" s="6" t="s">
        <v>1607</v>
      </c>
      <c r="H189" s="6"/>
      <c r="I189" s="6" t="n">
        <v>3</v>
      </c>
    </row>
    <row r="190" customFormat="false" ht="23.25" hidden="false" customHeight="true" outlineLevel="0" collapsed="false">
      <c r="A190" s="6" t="s">
        <v>1603</v>
      </c>
      <c r="B190" s="6" t="s">
        <v>954</v>
      </c>
      <c r="C190" s="6" t="s">
        <v>955</v>
      </c>
      <c r="D190" s="6" t="s">
        <v>1604</v>
      </c>
      <c r="E190" s="6" t="s">
        <v>1605</v>
      </c>
      <c r="F190" s="6" t="s">
        <v>1606</v>
      </c>
      <c r="G190" s="6" t="s">
        <v>1607</v>
      </c>
      <c r="H190" s="6"/>
      <c r="I190" s="6" t="n">
        <v>0</v>
      </c>
    </row>
    <row r="191" customFormat="false" ht="23.25" hidden="false" customHeight="true" outlineLevel="0" collapsed="false">
      <c r="A191" s="6" t="s">
        <v>1603</v>
      </c>
      <c r="B191" s="6" t="s">
        <v>956</v>
      </c>
      <c r="C191" s="6" t="s">
        <v>957</v>
      </c>
      <c r="D191" s="6" t="s">
        <v>1604</v>
      </c>
      <c r="E191" s="6" t="s">
        <v>1605</v>
      </c>
      <c r="F191" s="6" t="s">
        <v>1606</v>
      </c>
      <c r="G191" s="6" t="s">
        <v>1607</v>
      </c>
      <c r="H191" s="6"/>
      <c r="I191" s="6" t="n">
        <v>0</v>
      </c>
    </row>
    <row r="192" customFormat="false" ht="23.25" hidden="false" customHeight="true" outlineLevel="0" collapsed="false">
      <c r="A192" s="6" t="s">
        <v>1603</v>
      </c>
      <c r="B192" s="6" t="s">
        <v>956</v>
      </c>
      <c r="C192" s="6" t="s">
        <v>1721</v>
      </c>
      <c r="D192" s="6" t="s">
        <v>1604</v>
      </c>
      <c r="E192" s="6" t="s">
        <v>1605</v>
      </c>
      <c r="F192" s="6" t="s">
        <v>1606</v>
      </c>
      <c r="G192" s="6" t="s">
        <v>1607</v>
      </c>
      <c r="H192" s="6"/>
      <c r="I192" s="6" t="n">
        <v>0</v>
      </c>
    </row>
    <row r="193" customFormat="false" ht="23.25" hidden="false" customHeight="true" outlineLevel="0" collapsed="false">
      <c r="A193" s="6" t="s">
        <v>1603</v>
      </c>
      <c r="B193" s="6" t="s">
        <v>956</v>
      </c>
      <c r="C193" s="6" t="s">
        <v>1722</v>
      </c>
      <c r="D193" s="6" t="s">
        <v>1604</v>
      </c>
      <c r="E193" s="6" t="s">
        <v>1605</v>
      </c>
      <c r="F193" s="6" t="s">
        <v>1606</v>
      </c>
      <c r="G193" s="6" t="s">
        <v>1607</v>
      </c>
      <c r="H193" s="6"/>
      <c r="I193" s="6" t="n">
        <v>0</v>
      </c>
    </row>
    <row r="194" customFormat="false" ht="23.25" hidden="false" customHeight="true" outlineLevel="0" collapsed="false">
      <c r="A194" s="6" t="s">
        <v>1603</v>
      </c>
      <c r="B194" s="6" t="s">
        <v>956</v>
      </c>
      <c r="C194" s="6" t="s">
        <v>1723</v>
      </c>
      <c r="D194" s="6" t="s">
        <v>1604</v>
      </c>
      <c r="E194" s="6" t="s">
        <v>1605</v>
      </c>
      <c r="F194" s="6" t="s">
        <v>1606</v>
      </c>
      <c r="G194" s="6" t="s">
        <v>1607</v>
      </c>
      <c r="H194" s="6"/>
      <c r="I194" s="6" t="n">
        <v>0</v>
      </c>
    </row>
    <row r="195" customFormat="false" ht="23.25" hidden="false" customHeight="true" outlineLevel="0" collapsed="false">
      <c r="A195" s="6" t="s">
        <v>1603</v>
      </c>
      <c r="B195" s="6" t="s">
        <v>956</v>
      </c>
      <c r="C195" s="6" t="s">
        <v>1724</v>
      </c>
      <c r="D195" s="6" t="s">
        <v>1604</v>
      </c>
      <c r="E195" s="6" t="s">
        <v>1605</v>
      </c>
      <c r="F195" s="6" t="s">
        <v>1606</v>
      </c>
      <c r="G195" s="6" t="s">
        <v>1607</v>
      </c>
      <c r="H195" s="6"/>
      <c r="I195" s="6" t="n">
        <v>0</v>
      </c>
    </row>
    <row r="196" customFormat="false" ht="23.25" hidden="false" customHeight="true" outlineLevel="0" collapsed="false">
      <c r="A196" s="6" t="s">
        <v>1603</v>
      </c>
      <c r="B196" s="6" t="s">
        <v>958</v>
      </c>
      <c r="C196" s="6" t="s">
        <v>959</v>
      </c>
      <c r="D196" s="6" t="s">
        <v>1604</v>
      </c>
      <c r="E196" s="6" t="s">
        <v>1605</v>
      </c>
      <c r="F196" s="6" t="s">
        <v>1606</v>
      </c>
      <c r="G196" s="6" t="s">
        <v>1632</v>
      </c>
      <c r="H196" s="6" t="s">
        <v>960</v>
      </c>
      <c r="I196" s="6" t="n">
        <v>3</v>
      </c>
    </row>
    <row r="197" customFormat="false" ht="23.25" hidden="false" customHeight="true" outlineLevel="0" collapsed="false">
      <c r="A197" s="6" t="s">
        <v>1603</v>
      </c>
      <c r="B197" s="6" t="s">
        <v>1161</v>
      </c>
      <c r="C197" s="6" t="s">
        <v>1162</v>
      </c>
      <c r="D197" s="6" t="s">
        <v>1604</v>
      </c>
      <c r="E197" s="6" t="s">
        <v>1605</v>
      </c>
      <c r="F197" s="6" t="s">
        <v>1606</v>
      </c>
      <c r="G197" s="6" t="s">
        <v>1607</v>
      </c>
      <c r="H197" s="6"/>
      <c r="I197" s="6" t="n">
        <v>2</v>
      </c>
    </row>
    <row r="198" customFormat="false" ht="23.25" hidden="false" customHeight="true" outlineLevel="0" collapsed="false">
      <c r="A198" s="6" t="s">
        <v>1603</v>
      </c>
      <c r="B198" s="6" t="s">
        <v>1161</v>
      </c>
      <c r="C198" s="6" t="s">
        <v>1725</v>
      </c>
      <c r="D198" s="6" t="s">
        <v>1604</v>
      </c>
      <c r="E198" s="6" t="s">
        <v>1605</v>
      </c>
      <c r="F198" s="6" t="s">
        <v>1606</v>
      </c>
      <c r="G198" s="6" t="s">
        <v>1607</v>
      </c>
      <c r="H198" s="6"/>
      <c r="I198" s="6" t="n">
        <v>0</v>
      </c>
    </row>
    <row r="199" customFormat="false" ht="23.25" hidden="false" customHeight="true" outlineLevel="0" collapsed="false">
      <c r="A199" s="6" t="s">
        <v>1603</v>
      </c>
      <c r="B199" s="6" t="s">
        <v>1161</v>
      </c>
      <c r="C199" s="6" t="s">
        <v>1726</v>
      </c>
      <c r="D199" s="6" t="s">
        <v>1604</v>
      </c>
      <c r="E199" s="6" t="s">
        <v>1605</v>
      </c>
      <c r="F199" s="6" t="s">
        <v>1606</v>
      </c>
      <c r="G199" s="6" t="s">
        <v>1607</v>
      </c>
      <c r="H199" s="6"/>
      <c r="I199" s="6" t="n">
        <v>0</v>
      </c>
    </row>
    <row r="200" customFormat="false" ht="23.25" hidden="false" customHeight="true" outlineLevel="0" collapsed="false">
      <c r="A200" s="6" t="s">
        <v>1603</v>
      </c>
      <c r="B200" s="6" t="s">
        <v>1161</v>
      </c>
      <c r="C200" s="6" t="s">
        <v>1727</v>
      </c>
      <c r="D200" s="6" t="s">
        <v>1604</v>
      </c>
      <c r="E200" s="6" t="s">
        <v>1605</v>
      </c>
      <c r="F200" s="6" t="s">
        <v>1606</v>
      </c>
      <c r="G200" s="6" t="s">
        <v>1607</v>
      </c>
      <c r="H200" s="6"/>
      <c r="I200" s="6" t="n">
        <v>0</v>
      </c>
    </row>
    <row r="201" customFormat="false" ht="23.25" hidden="false" customHeight="true" outlineLevel="0" collapsed="false">
      <c r="A201" s="6" t="s">
        <v>1603</v>
      </c>
      <c r="B201" s="6" t="s">
        <v>1164</v>
      </c>
      <c r="C201" s="6" t="s">
        <v>1165</v>
      </c>
      <c r="D201" s="6" t="s">
        <v>1604</v>
      </c>
      <c r="E201" s="6" t="s">
        <v>1605</v>
      </c>
      <c r="F201" s="6" t="s">
        <v>1606</v>
      </c>
      <c r="G201" s="6" t="s">
        <v>1607</v>
      </c>
      <c r="H201" s="6"/>
      <c r="I201" s="6" t="n">
        <v>0</v>
      </c>
    </row>
    <row r="202" customFormat="false" ht="23.25" hidden="false" customHeight="true" outlineLevel="0" collapsed="false">
      <c r="A202" s="6" t="s">
        <v>1603</v>
      </c>
      <c r="B202" s="6" t="s">
        <v>1164</v>
      </c>
      <c r="C202" s="6" t="s">
        <v>1728</v>
      </c>
      <c r="D202" s="6" t="s">
        <v>1604</v>
      </c>
      <c r="E202" s="6" t="s">
        <v>1605</v>
      </c>
      <c r="F202" s="6" t="s">
        <v>1606</v>
      </c>
      <c r="G202" s="6" t="s">
        <v>1607</v>
      </c>
      <c r="H202" s="6"/>
      <c r="I202" s="6" t="n">
        <v>0</v>
      </c>
    </row>
    <row r="203" customFormat="false" ht="23.25" hidden="false" customHeight="true" outlineLevel="0" collapsed="false">
      <c r="A203" s="6" t="s">
        <v>1603</v>
      </c>
      <c r="B203" s="6" t="s">
        <v>1164</v>
      </c>
      <c r="C203" s="6" t="s">
        <v>1729</v>
      </c>
      <c r="D203" s="6" t="s">
        <v>1604</v>
      </c>
      <c r="E203" s="6" t="s">
        <v>1605</v>
      </c>
      <c r="F203" s="6" t="s">
        <v>1606</v>
      </c>
      <c r="G203" s="6" t="s">
        <v>1607</v>
      </c>
      <c r="H203" s="6"/>
      <c r="I203" s="6" t="n">
        <v>0</v>
      </c>
    </row>
    <row r="204" customFormat="false" ht="23.25" hidden="false" customHeight="true" outlineLevel="0" collapsed="false">
      <c r="A204" s="6" t="s">
        <v>1603</v>
      </c>
      <c r="B204" s="6" t="s">
        <v>1164</v>
      </c>
      <c r="C204" s="6" t="s">
        <v>1730</v>
      </c>
      <c r="D204" s="6" t="s">
        <v>1604</v>
      </c>
      <c r="E204" s="6" t="s">
        <v>1605</v>
      </c>
      <c r="F204" s="6" t="s">
        <v>1606</v>
      </c>
      <c r="G204" s="6" t="s">
        <v>1607</v>
      </c>
      <c r="H204" s="6"/>
      <c r="I204" s="6" t="n">
        <v>0</v>
      </c>
    </row>
    <row r="205" customFormat="false" ht="23.25" hidden="false" customHeight="true" outlineLevel="0" collapsed="false">
      <c r="A205" s="6" t="s">
        <v>1603</v>
      </c>
      <c r="B205" s="6" t="s">
        <v>1164</v>
      </c>
      <c r="C205" s="6" t="s">
        <v>1731</v>
      </c>
      <c r="D205" s="6" t="s">
        <v>1604</v>
      </c>
      <c r="E205" s="6" t="s">
        <v>1605</v>
      </c>
      <c r="F205" s="6" t="s">
        <v>1606</v>
      </c>
      <c r="G205" s="6" t="s">
        <v>1607</v>
      </c>
      <c r="H205" s="6"/>
      <c r="I205" s="6" t="n">
        <v>0</v>
      </c>
    </row>
    <row r="206" customFormat="false" ht="23.25" hidden="false" customHeight="true" outlineLevel="0" collapsed="false">
      <c r="A206" s="6" t="s">
        <v>1603</v>
      </c>
      <c r="B206" s="6" t="s">
        <v>1164</v>
      </c>
      <c r="C206" s="6" t="s">
        <v>1732</v>
      </c>
      <c r="D206" s="6" t="s">
        <v>1604</v>
      </c>
      <c r="E206" s="6" t="s">
        <v>1605</v>
      </c>
      <c r="F206" s="6" t="s">
        <v>1606</v>
      </c>
      <c r="G206" s="6" t="s">
        <v>1607</v>
      </c>
      <c r="H206" s="6"/>
      <c r="I206" s="6" t="n">
        <v>0</v>
      </c>
    </row>
    <row r="207" customFormat="false" ht="23.25" hidden="false" customHeight="true" outlineLevel="0" collapsed="false">
      <c r="A207" s="6" t="s">
        <v>1603</v>
      </c>
      <c r="B207" s="6" t="s">
        <v>1164</v>
      </c>
      <c r="C207" s="6" t="s">
        <v>1733</v>
      </c>
      <c r="D207" s="6" t="s">
        <v>1604</v>
      </c>
      <c r="E207" s="6" t="s">
        <v>1605</v>
      </c>
      <c r="F207" s="6" t="s">
        <v>1606</v>
      </c>
      <c r="G207" s="6" t="s">
        <v>1607</v>
      </c>
      <c r="H207" s="6"/>
      <c r="I207" s="6" t="n">
        <v>0</v>
      </c>
    </row>
    <row r="208" customFormat="false" ht="23.25" hidden="false" customHeight="true" outlineLevel="0" collapsed="false">
      <c r="A208" s="6" t="s">
        <v>1603</v>
      </c>
      <c r="B208" s="6" t="s">
        <v>1166</v>
      </c>
      <c r="C208" s="6" t="s">
        <v>1167</v>
      </c>
      <c r="D208" s="6" t="s">
        <v>1604</v>
      </c>
      <c r="E208" s="6" t="s">
        <v>1605</v>
      </c>
      <c r="F208" s="6" t="s">
        <v>1606</v>
      </c>
      <c r="G208" s="6" t="s">
        <v>1607</v>
      </c>
      <c r="H208" s="6"/>
      <c r="I208" s="6" t="n">
        <v>0</v>
      </c>
    </row>
    <row r="209" customFormat="false" ht="23.25" hidden="false" customHeight="true" outlineLevel="0" collapsed="false">
      <c r="A209" s="6" t="s">
        <v>1603</v>
      </c>
      <c r="B209" s="6" t="s">
        <v>1166</v>
      </c>
      <c r="C209" s="6" t="s">
        <v>1734</v>
      </c>
      <c r="D209" s="6" t="s">
        <v>1604</v>
      </c>
      <c r="E209" s="6" t="s">
        <v>1605</v>
      </c>
      <c r="F209" s="6" t="s">
        <v>1606</v>
      </c>
      <c r="G209" s="6" t="s">
        <v>1607</v>
      </c>
      <c r="H209" s="6"/>
      <c r="I209" s="6" t="n">
        <v>0</v>
      </c>
    </row>
    <row r="210" customFormat="false" ht="23.25" hidden="false" customHeight="true" outlineLevel="0" collapsed="false">
      <c r="A210" s="6" t="s">
        <v>1603</v>
      </c>
      <c r="B210" s="6" t="s">
        <v>1166</v>
      </c>
      <c r="C210" s="6" t="s">
        <v>1735</v>
      </c>
      <c r="D210" s="6" t="s">
        <v>1604</v>
      </c>
      <c r="E210" s="6" t="s">
        <v>1605</v>
      </c>
      <c r="F210" s="6" t="s">
        <v>1606</v>
      </c>
      <c r="G210" s="6" t="s">
        <v>1607</v>
      </c>
      <c r="H210" s="6"/>
      <c r="I210" s="6" t="n">
        <v>0</v>
      </c>
    </row>
    <row r="211" customFormat="false" ht="23.25" hidden="false" customHeight="true" outlineLevel="0" collapsed="false">
      <c r="A211" s="6" t="s">
        <v>1603</v>
      </c>
      <c r="B211" s="6" t="s">
        <v>1166</v>
      </c>
      <c r="C211" s="6" t="s">
        <v>1736</v>
      </c>
      <c r="D211" s="6" t="s">
        <v>1604</v>
      </c>
      <c r="E211" s="6" t="s">
        <v>1605</v>
      </c>
      <c r="F211" s="6" t="s">
        <v>1606</v>
      </c>
      <c r="G211" s="6" t="s">
        <v>1607</v>
      </c>
      <c r="H211" s="6"/>
      <c r="I211" s="6" t="n">
        <v>0</v>
      </c>
    </row>
    <row r="212" customFormat="false" ht="23.25" hidden="false" customHeight="true" outlineLevel="0" collapsed="false">
      <c r="A212" s="6" t="s">
        <v>1603</v>
      </c>
      <c r="B212" s="6" t="s">
        <v>1166</v>
      </c>
      <c r="C212" s="6" t="s">
        <v>1737</v>
      </c>
      <c r="D212" s="6" t="s">
        <v>1604</v>
      </c>
      <c r="E212" s="6" t="s">
        <v>1605</v>
      </c>
      <c r="F212" s="6" t="s">
        <v>1606</v>
      </c>
      <c r="G212" s="6" t="s">
        <v>1607</v>
      </c>
      <c r="H212" s="6"/>
      <c r="I212" s="6" t="n">
        <v>0</v>
      </c>
    </row>
    <row r="213" customFormat="false" ht="23.25" hidden="false" customHeight="true" outlineLevel="0" collapsed="false">
      <c r="A213" s="6" t="s">
        <v>1603</v>
      </c>
      <c r="B213" s="6" t="s">
        <v>1166</v>
      </c>
      <c r="C213" s="6" t="s">
        <v>1738</v>
      </c>
      <c r="D213" s="6" t="s">
        <v>1604</v>
      </c>
      <c r="E213" s="6" t="s">
        <v>1605</v>
      </c>
      <c r="F213" s="6" t="s">
        <v>1606</v>
      </c>
      <c r="G213" s="6" t="s">
        <v>1607</v>
      </c>
      <c r="H213" s="6"/>
      <c r="I213" s="6" t="n">
        <v>0</v>
      </c>
    </row>
    <row r="214" customFormat="false" ht="23.25" hidden="false" customHeight="true" outlineLevel="0" collapsed="false">
      <c r="A214" s="6" t="s">
        <v>1603</v>
      </c>
      <c r="B214" s="6" t="s">
        <v>1166</v>
      </c>
      <c r="C214" s="6" t="s">
        <v>1739</v>
      </c>
      <c r="D214" s="6" t="s">
        <v>1604</v>
      </c>
      <c r="E214" s="6" t="s">
        <v>1605</v>
      </c>
      <c r="F214" s="6" t="s">
        <v>1606</v>
      </c>
      <c r="G214" s="6" t="s">
        <v>1607</v>
      </c>
      <c r="H214" s="6"/>
      <c r="I214" s="6" t="n">
        <v>0</v>
      </c>
    </row>
    <row r="215" customFormat="false" ht="23.25" hidden="false" customHeight="true" outlineLevel="0" collapsed="false">
      <c r="A215" s="6" t="s">
        <v>1603</v>
      </c>
      <c r="B215" s="6" t="s">
        <v>1166</v>
      </c>
      <c r="C215" s="6" t="s">
        <v>1740</v>
      </c>
      <c r="D215" s="6" t="s">
        <v>1604</v>
      </c>
      <c r="E215" s="6" t="s">
        <v>1605</v>
      </c>
      <c r="F215" s="6" t="s">
        <v>1606</v>
      </c>
      <c r="G215" s="6" t="s">
        <v>1607</v>
      </c>
      <c r="H215" s="6"/>
      <c r="I215" s="6" t="n">
        <v>0</v>
      </c>
    </row>
    <row r="216" customFormat="false" ht="23.25" hidden="false" customHeight="true" outlineLevel="0" collapsed="false">
      <c r="A216" s="6" t="s">
        <v>1603</v>
      </c>
      <c r="B216" s="6" t="s">
        <v>1166</v>
      </c>
      <c r="C216" s="6" t="s">
        <v>1741</v>
      </c>
      <c r="D216" s="6" t="s">
        <v>1604</v>
      </c>
      <c r="E216" s="6" t="s">
        <v>1605</v>
      </c>
      <c r="F216" s="6" t="s">
        <v>1606</v>
      </c>
      <c r="G216" s="6" t="s">
        <v>1607</v>
      </c>
      <c r="H216" s="6"/>
      <c r="I216" s="6" t="n">
        <v>0</v>
      </c>
    </row>
    <row r="217" customFormat="false" ht="23.25" hidden="false" customHeight="true" outlineLevel="0" collapsed="false">
      <c r="A217" s="6" t="s">
        <v>1603</v>
      </c>
      <c r="B217" s="6" t="s">
        <v>1166</v>
      </c>
      <c r="C217" s="6" t="s">
        <v>1742</v>
      </c>
      <c r="D217" s="6" t="s">
        <v>1604</v>
      </c>
      <c r="E217" s="6" t="s">
        <v>1605</v>
      </c>
      <c r="F217" s="6" t="s">
        <v>1606</v>
      </c>
      <c r="G217" s="6" t="s">
        <v>1607</v>
      </c>
      <c r="H217" s="6"/>
      <c r="I217" s="6" t="n">
        <v>0</v>
      </c>
    </row>
    <row r="218" customFormat="false" ht="23.25" hidden="false" customHeight="true" outlineLevel="0" collapsed="false">
      <c r="A218" s="6" t="s">
        <v>1603</v>
      </c>
      <c r="B218" s="6" t="s">
        <v>1166</v>
      </c>
      <c r="C218" s="6" t="s">
        <v>1743</v>
      </c>
      <c r="D218" s="6" t="s">
        <v>1604</v>
      </c>
      <c r="E218" s="6" t="s">
        <v>1605</v>
      </c>
      <c r="F218" s="6" t="s">
        <v>1606</v>
      </c>
      <c r="G218" s="6" t="s">
        <v>1607</v>
      </c>
      <c r="H218" s="6"/>
      <c r="I218" s="6" t="n">
        <v>0</v>
      </c>
    </row>
    <row r="219" customFormat="false" ht="23.25" hidden="false" customHeight="true" outlineLevel="0" collapsed="false">
      <c r="A219" s="6" t="s">
        <v>1603</v>
      </c>
      <c r="B219" s="6" t="s">
        <v>1166</v>
      </c>
      <c r="C219" s="6" t="s">
        <v>1744</v>
      </c>
      <c r="D219" s="6" t="s">
        <v>1604</v>
      </c>
      <c r="E219" s="6" t="s">
        <v>1605</v>
      </c>
      <c r="F219" s="6" t="s">
        <v>1606</v>
      </c>
      <c r="G219" s="6" t="s">
        <v>1607</v>
      </c>
      <c r="H219" s="6"/>
      <c r="I219" s="6" t="n">
        <v>0</v>
      </c>
    </row>
    <row r="220" customFormat="false" ht="23.25" hidden="false" customHeight="true" outlineLevel="0" collapsed="false">
      <c r="A220" s="6" t="s">
        <v>1603</v>
      </c>
      <c r="B220" s="6" t="s">
        <v>1168</v>
      </c>
      <c r="C220" s="6" t="s">
        <v>1169</v>
      </c>
      <c r="D220" s="6" t="s">
        <v>1604</v>
      </c>
      <c r="E220" s="6" t="s">
        <v>1605</v>
      </c>
      <c r="F220" s="6" t="s">
        <v>1606</v>
      </c>
      <c r="G220" s="6" t="s">
        <v>1607</v>
      </c>
      <c r="H220" s="6"/>
      <c r="I220" s="6" t="n">
        <v>0</v>
      </c>
    </row>
    <row r="221" customFormat="false" ht="23.25" hidden="false" customHeight="true" outlineLevel="0" collapsed="false">
      <c r="A221" s="6" t="s">
        <v>1603</v>
      </c>
      <c r="B221" s="6" t="s">
        <v>1170</v>
      </c>
      <c r="C221" s="6" t="s">
        <v>1171</v>
      </c>
      <c r="D221" s="6" t="s">
        <v>1604</v>
      </c>
      <c r="E221" s="6" t="s">
        <v>1605</v>
      </c>
      <c r="F221" s="6" t="s">
        <v>1606</v>
      </c>
      <c r="G221" s="6" t="s">
        <v>1607</v>
      </c>
      <c r="H221" s="6"/>
      <c r="I221" s="6" t="n">
        <v>0</v>
      </c>
    </row>
    <row r="222" customFormat="false" ht="23.25" hidden="false" customHeight="true" outlineLevel="0" collapsed="false">
      <c r="A222" s="6" t="s">
        <v>1603</v>
      </c>
      <c r="B222" s="6" t="s">
        <v>1170</v>
      </c>
      <c r="C222" s="6" t="s">
        <v>1745</v>
      </c>
      <c r="D222" s="6" t="s">
        <v>1604</v>
      </c>
      <c r="E222" s="6" t="s">
        <v>1605</v>
      </c>
      <c r="F222" s="6" t="s">
        <v>1606</v>
      </c>
      <c r="G222" s="6" t="s">
        <v>1607</v>
      </c>
      <c r="H222" s="6"/>
      <c r="I222" s="6" t="n">
        <v>0</v>
      </c>
    </row>
    <row r="223" customFormat="false" ht="23.25" hidden="false" customHeight="true" outlineLevel="0" collapsed="false">
      <c r="A223" s="6" t="s">
        <v>1603</v>
      </c>
      <c r="B223" s="6" t="s">
        <v>1170</v>
      </c>
      <c r="C223" s="6" t="s">
        <v>1746</v>
      </c>
      <c r="D223" s="6" t="s">
        <v>1604</v>
      </c>
      <c r="E223" s="6" t="s">
        <v>1605</v>
      </c>
      <c r="F223" s="6" t="s">
        <v>1606</v>
      </c>
      <c r="G223" s="6" t="s">
        <v>1607</v>
      </c>
      <c r="H223" s="6"/>
      <c r="I223" s="6" t="n">
        <v>0</v>
      </c>
    </row>
    <row r="224" customFormat="false" ht="23.25" hidden="false" customHeight="true" outlineLevel="0" collapsed="false">
      <c r="A224" s="6" t="s">
        <v>1603</v>
      </c>
      <c r="B224" s="6" t="s">
        <v>1170</v>
      </c>
      <c r="C224" s="6" t="s">
        <v>1747</v>
      </c>
      <c r="D224" s="6" t="s">
        <v>1604</v>
      </c>
      <c r="E224" s="6" t="s">
        <v>1605</v>
      </c>
      <c r="F224" s="6" t="s">
        <v>1606</v>
      </c>
      <c r="G224" s="6" t="s">
        <v>1607</v>
      </c>
      <c r="H224" s="6"/>
      <c r="I224" s="6" t="n">
        <v>0</v>
      </c>
    </row>
    <row r="225" customFormat="false" ht="23.25" hidden="false" customHeight="true" outlineLevel="0" collapsed="false">
      <c r="A225" s="6" t="s">
        <v>1603</v>
      </c>
      <c r="B225" s="6" t="s">
        <v>1170</v>
      </c>
      <c r="C225" s="6" t="s">
        <v>1748</v>
      </c>
      <c r="D225" s="6" t="s">
        <v>1604</v>
      </c>
      <c r="E225" s="6" t="s">
        <v>1605</v>
      </c>
      <c r="F225" s="6" t="s">
        <v>1606</v>
      </c>
      <c r="G225" s="6" t="s">
        <v>1607</v>
      </c>
      <c r="H225" s="6"/>
      <c r="I225" s="6" t="n">
        <v>0</v>
      </c>
    </row>
    <row r="226" customFormat="false" ht="23.25" hidden="false" customHeight="true" outlineLevel="0" collapsed="false">
      <c r="A226" s="6" t="s">
        <v>1603</v>
      </c>
      <c r="B226" s="6" t="s">
        <v>1172</v>
      </c>
      <c r="C226" s="6" t="s">
        <v>1173</v>
      </c>
      <c r="D226" s="6" t="s">
        <v>1604</v>
      </c>
      <c r="E226" s="6" t="s">
        <v>1605</v>
      </c>
      <c r="F226" s="6" t="s">
        <v>1606</v>
      </c>
      <c r="G226" s="6" t="s">
        <v>1607</v>
      </c>
      <c r="H226" s="6"/>
      <c r="I226" s="6" t="n">
        <v>0</v>
      </c>
    </row>
    <row r="227" customFormat="false" ht="23.25" hidden="false" customHeight="true" outlineLevel="0" collapsed="false">
      <c r="A227" s="6" t="s">
        <v>1603</v>
      </c>
      <c r="B227" s="6" t="s">
        <v>1174</v>
      </c>
      <c r="C227" s="6" t="s">
        <v>1175</v>
      </c>
      <c r="D227" s="6" t="s">
        <v>1604</v>
      </c>
      <c r="E227" s="6" t="s">
        <v>1605</v>
      </c>
      <c r="F227" s="6" t="s">
        <v>1606</v>
      </c>
      <c r="G227" s="6" t="s">
        <v>1607</v>
      </c>
      <c r="H227" s="6"/>
      <c r="I227" s="6" t="n">
        <v>0</v>
      </c>
    </row>
    <row r="228" customFormat="false" ht="23.25" hidden="false" customHeight="true" outlineLevel="0" collapsed="false">
      <c r="A228" s="6" t="s">
        <v>1603</v>
      </c>
      <c r="B228" s="6" t="s">
        <v>1174</v>
      </c>
      <c r="C228" s="6" t="s">
        <v>1749</v>
      </c>
      <c r="D228" s="6" t="s">
        <v>1604</v>
      </c>
      <c r="E228" s="6" t="s">
        <v>1605</v>
      </c>
      <c r="F228" s="6" t="s">
        <v>1606</v>
      </c>
      <c r="G228" s="6" t="s">
        <v>1607</v>
      </c>
      <c r="H228" s="6"/>
      <c r="I228" s="6" t="n">
        <v>0</v>
      </c>
    </row>
    <row r="229" customFormat="false" ht="23.25" hidden="false" customHeight="true" outlineLevel="0" collapsed="false">
      <c r="A229" s="6" t="s">
        <v>1603</v>
      </c>
      <c r="B229" s="6" t="s">
        <v>1176</v>
      </c>
      <c r="C229" s="6" t="s">
        <v>1177</v>
      </c>
      <c r="D229" s="6" t="s">
        <v>1604</v>
      </c>
      <c r="E229" s="6" t="s">
        <v>1605</v>
      </c>
      <c r="F229" s="6" t="s">
        <v>1606</v>
      </c>
      <c r="G229" s="6" t="s">
        <v>1607</v>
      </c>
      <c r="H229" s="6"/>
      <c r="I229" s="6" t="n">
        <v>0</v>
      </c>
    </row>
    <row r="230" customFormat="false" ht="23.25" hidden="false" customHeight="true" outlineLevel="0" collapsed="false">
      <c r="A230" s="6" t="s">
        <v>1603</v>
      </c>
      <c r="B230" s="6" t="s">
        <v>1176</v>
      </c>
      <c r="C230" s="6" t="s">
        <v>1750</v>
      </c>
      <c r="D230" s="6" t="s">
        <v>1604</v>
      </c>
      <c r="E230" s="6" t="s">
        <v>1605</v>
      </c>
      <c r="F230" s="6" t="s">
        <v>1606</v>
      </c>
      <c r="G230" s="6" t="s">
        <v>1607</v>
      </c>
      <c r="H230" s="6"/>
      <c r="I230" s="6" t="n">
        <v>0</v>
      </c>
    </row>
    <row r="231" customFormat="false" ht="23.25" hidden="false" customHeight="true" outlineLevel="0" collapsed="false">
      <c r="A231" s="6" t="s">
        <v>1603</v>
      </c>
      <c r="B231" s="6" t="s">
        <v>1176</v>
      </c>
      <c r="C231" s="6" t="s">
        <v>1751</v>
      </c>
      <c r="D231" s="6" t="s">
        <v>1604</v>
      </c>
      <c r="E231" s="6" t="s">
        <v>1605</v>
      </c>
      <c r="F231" s="6" t="s">
        <v>1606</v>
      </c>
      <c r="G231" s="6" t="s">
        <v>1607</v>
      </c>
      <c r="H231" s="6"/>
      <c r="I231" s="6" t="n">
        <v>0</v>
      </c>
    </row>
    <row r="232" customFormat="false" ht="23.25" hidden="false" customHeight="true" outlineLevel="0" collapsed="false">
      <c r="A232" s="6" t="s">
        <v>1603</v>
      </c>
      <c r="B232" s="6" t="s">
        <v>1176</v>
      </c>
      <c r="C232" s="6" t="s">
        <v>1752</v>
      </c>
      <c r="D232" s="6" t="s">
        <v>1604</v>
      </c>
      <c r="E232" s="6" t="s">
        <v>1605</v>
      </c>
      <c r="F232" s="6" t="s">
        <v>1606</v>
      </c>
      <c r="G232" s="6" t="s">
        <v>1607</v>
      </c>
      <c r="H232" s="6"/>
      <c r="I232" s="6" t="n">
        <v>0</v>
      </c>
    </row>
    <row r="233" customFormat="false" ht="23.25" hidden="false" customHeight="true" outlineLevel="0" collapsed="false">
      <c r="A233" s="6" t="s">
        <v>1603</v>
      </c>
      <c r="B233" s="6" t="s">
        <v>1176</v>
      </c>
      <c r="C233" s="6" t="s">
        <v>1753</v>
      </c>
      <c r="D233" s="6" t="s">
        <v>1604</v>
      </c>
      <c r="E233" s="6" t="s">
        <v>1605</v>
      </c>
      <c r="F233" s="6" t="s">
        <v>1606</v>
      </c>
      <c r="G233" s="6" t="s">
        <v>1607</v>
      </c>
      <c r="H233" s="6"/>
      <c r="I233" s="6" t="n">
        <v>0</v>
      </c>
    </row>
    <row r="234" customFormat="false" ht="23.25" hidden="false" customHeight="true" outlineLevel="0" collapsed="false">
      <c r="A234" s="6" t="s">
        <v>1603</v>
      </c>
      <c r="B234" s="6" t="s">
        <v>1176</v>
      </c>
      <c r="C234" s="6" t="s">
        <v>1754</v>
      </c>
      <c r="D234" s="6" t="s">
        <v>1604</v>
      </c>
      <c r="E234" s="6" t="s">
        <v>1605</v>
      </c>
      <c r="F234" s="6" t="s">
        <v>1606</v>
      </c>
      <c r="G234" s="6" t="s">
        <v>1607</v>
      </c>
      <c r="H234" s="6"/>
      <c r="I234" s="6" t="n">
        <v>0</v>
      </c>
    </row>
    <row r="235" customFormat="false" ht="23.25" hidden="false" customHeight="true" outlineLevel="0" collapsed="false">
      <c r="A235" s="6" t="s">
        <v>1603</v>
      </c>
      <c r="B235" s="6" t="s">
        <v>1176</v>
      </c>
      <c r="C235" s="6" t="s">
        <v>1755</v>
      </c>
      <c r="D235" s="6" t="s">
        <v>1604</v>
      </c>
      <c r="E235" s="6" t="s">
        <v>1605</v>
      </c>
      <c r="F235" s="6" t="s">
        <v>1606</v>
      </c>
      <c r="G235" s="6" t="s">
        <v>1607</v>
      </c>
      <c r="H235" s="6"/>
      <c r="I235" s="6" t="n">
        <v>0</v>
      </c>
    </row>
    <row r="236" customFormat="false" ht="23.25" hidden="false" customHeight="true" outlineLevel="0" collapsed="false">
      <c r="A236" s="6" t="s">
        <v>1603</v>
      </c>
      <c r="B236" s="6" t="s">
        <v>1176</v>
      </c>
      <c r="C236" s="6" t="s">
        <v>1756</v>
      </c>
      <c r="D236" s="6" t="s">
        <v>1604</v>
      </c>
      <c r="E236" s="6" t="s">
        <v>1605</v>
      </c>
      <c r="F236" s="6" t="s">
        <v>1606</v>
      </c>
      <c r="G236" s="6" t="s">
        <v>1607</v>
      </c>
      <c r="H236" s="6"/>
      <c r="I236" s="6" t="n">
        <v>0</v>
      </c>
    </row>
    <row r="237" customFormat="false" ht="23.25" hidden="false" customHeight="true" outlineLevel="0" collapsed="false">
      <c r="A237" s="6" t="s">
        <v>1603</v>
      </c>
      <c r="B237" s="6" t="s">
        <v>1178</v>
      </c>
      <c r="C237" s="6" t="s">
        <v>1179</v>
      </c>
      <c r="D237" s="6" t="s">
        <v>1604</v>
      </c>
      <c r="E237" s="6" t="s">
        <v>1605</v>
      </c>
      <c r="F237" s="6" t="s">
        <v>1606</v>
      </c>
      <c r="G237" s="6" t="s">
        <v>1607</v>
      </c>
      <c r="H237" s="6"/>
      <c r="I237" s="6" t="n">
        <v>0</v>
      </c>
    </row>
    <row r="238" customFormat="false" ht="23.25" hidden="false" customHeight="true" outlineLevel="0" collapsed="false">
      <c r="A238" s="6" t="s">
        <v>1603</v>
      </c>
      <c r="B238" s="6" t="s">
        <v>1178</v>
      </c>
      <c r="C238" s="6" t="s">
        <v>1757</v>
      </c>
      <c r="D238" s="6" t="s">
        <v>1604</v>
      </c>
      <c r="E238" s="6" t="s">
        <v>1605</v>
      </c>
      <c r="F238" s="6" t="s">
        <v>1606</v>
      </c>
      <c r="G238" s="6" t="s">
        <v>1607</v>
      </c>
      <c r="H238" s="6"/>
      <c r="I238" s="6" t="n">
        <v>0</v>
      </c>
    </row>
    <row r="239" customFormat="false" ht="23.25" hidden="false" customHeight="true" outlineLevel="0" collapsed="false">
      <c r="A239" s="6" t="s">
        <v>1603</v>
      </c>
      <c r="B239" s="6" t="s">
        <v>1178</v>
      </c>
      <c r="C239" s="6" t="s">
        <v>1758</v>
      </c>
      <c r="D239" s="6" t="s">
        <v>1604</v>
      </c>
      <c r="E239" s="6" t="s">
        <v>1605</v>
      </c>
      <c r="F239" s="6" t="s">
        <v>1606</v>
      </c>
      <c r="G239" s="6" t="s">
        <v>1607</v>
      </c>
      <c r="H239" s="6"/>
      <c r="I239" s="6" t="n">
        <v>0</v>
      </c>
    </row>
    <row r="240" customFormat="false" ht="23.25" hidden="false" customHeight="true" outlineLevel="0" collapsed="false">
      <c r="A240" s="6" t="s">
        <v>1603</v>
      </c>
      <c r="B240" s="6" t="s">
        <v>1178</v>
      </c>
      <c r="C240" s="6" t="s">
        <v>1759</v>
      </c>
      <c r="D240" s="6" t="s">
        <v>1604</v>
      </c>
      <c r="E240" s="6" t="s">
        <v>1605</v>
      </c>
      <c r="F240" s="6" t="s">
        <v>1606</v>
      </c>
      <c r="G240" s="6" t="s">
        <v>1607</v>
      </c>
      <c r="H240" s="6"/>
      <c r="I240" s="6" t="n">
        <v>0</v>
      </c>
    </row>
    <row r="241" customFormat="false" ht="23.25" hidden="false" customHeight="true" outlineLevel="0" collapsed="false">
      <c r="A241" s="6" t="s">
        <v>1603</v>
      </c>
      <c r="B241" s="6" t="s">
        <v>1180</v>
      </c>
      <c r="C241" s="6" t="s">
        <v>1181</v>
      </c>
      <c r="D241" s="6" t="s">
        <v>1604</v>
      </c>
      <c r="E241" s="6" t="s">
        <v>1605</v>
      </c>
      <c r="F241" s="6" t="s">
        <v>1606</v>
      </c>
      <c r="G241" s="6" t="s">
        <v>1607</v>
      </c>
      <c r="H241" s="6"/>
      <c r="I241" s="6" t="n">
        <v>0</v>
      </c>
    </row>
    <row r="242" customFormat="false" ht="23.25" hidden="false" customHeight="true" outlineLevel="0" collapsed="false">
      <c r="A242" s="6" t="s">
        <v>1603</v>
      </c>
      <c r="B242" s="6" t="s">
        <v>1180</v>
      </c>
      <c r="C242" s="6" t="s">
        <v>1760</v>
      </c>
      <c r="D242" s="6" t="s">
        <v>1604</v>
      </c>
      <c r="E242" s="6" t="s">
        <v>1605</v>
      </c>
      <c r="F242" s="6" t="s">
        <v>1606</v>
      </c>
      <c r="G242" s="6" t="s">
        <v>1607</v>
      </c>
      <c r="H242" s="6"/>
      <c r="I242" s="6" t="n">
        <v>0</v>
      </c>
    </row>
    <row r="243" customFormat="false" ht="23.25" hidden="false" customHeight="true" outlineLevel="0" collapsed="false">
      <c r="A243" s="6" t="s">
        <v>1603</v>
      </c>
      <c r="B243" s="6" t="s">
        <v>1180</v>
      </c>
      <c r="C243" s="6" t="s">
        <v>1761</v>
      </c>
      <c r="D243" s="6" t="s">
        <v>1604</v>
      </c>
      <c r="E243" s="6" t="s">
        <v>1605</v>
      </c>
      <c r="F243" s="6" t="s">
        <v>1606</v>
      </c>
      <c r="G243" s="6" t="s">
        <v>1607</v>
      </c>
      <c r="H243" s="6"/>
      <c r="I243" s="6" t="n">
        <v>0</v>
      </c>
    </row>
    <row r="244" customFormat="false" ht="23.25" hidden="false" customHeight="true" outlineLevel="0" collapsed="false">
      <c r="A244" s="6" t="s">
        <v>1603</v>
      </c>
      <c r="B244" s="6" t="s">
        <v>1180</v>
      </c>
      <c r="C244" s="6" t="s">
        <v>1762</v>
      </c>
      <c r="D244" s="6" t="s">
        <v>1604</v>
      </c>
      <c r="E244" s="6" t="s">
        <v>1605</v>
      </c>
      <c r="F244" s="6" t="s">
        <v>1606</v>
      </c>
      <c r="G244" s="6" t="s">
        <v>1607</v>
      </c>
      <c r="H244" s="6"/>
      <c r="I244" s="6" t="n">
        <v>0</v>
      </c>
    </row>
    <row r="245" customFormat="false" ht="23.25" hidden="false" customHeight="true" outlineLevel="0" collapsed="false">
      <c r="A245" s="6" t="s">
        <v>1603</v>
      </c>
      <c r="B245" s="6" t="s">
        <v>1180</v>
      </c>
      <c r="C245" s="6" t="s">
        <v>1763</v>
      </c>
      <c r="D245" s="6" t="s">
        <v>1604</v>
      </c>
      <c r="E245" s="6" t="s">
        <v>1605</v>
      </c>
      <c r="F245" s="6" t="s">
        <v>1606</v>
      </c>
      <c r="G245" s="6" t="s">
        <v>1607</v>
      </c>
      <c r="H245" s="6"/>
      <c r="I245" s="6" t="n">
        <v>0</v>
      </c>
    </row>
    <row r="246" customFormat="false" ht="23.25" hidden="false" customHeight="true" outlineLevel="0" collapsed="false">
      <c r="A246" s="6" t="s">
        <v>1603</v>
      </c>
      <c r="B246" s="6" t="s">
        <v>1180</v>
      </c>
      <c r="C246" s="6" t="s">
        <v>1764</v>
      </c>
      <c r="D246" s="6" t="s">
        <v>1604</v>
      </c>
      <c r="E246" s="6" t="s">
        <v>1605</v>
      </c>
      <c r="F246" s="6" t="s">
        <v>1606</v>
      </c>
      <c r="G246" s="6" t="s">
        <v>1607</v>
      </c>
      <c r="H246" s="6"/>
      <c r="I246" s="6" t="n">
        <v>0</v>
      </c>
    </row>
    <row r="247" customFormat="false" ht="23.25" hidden="false" customHeight="true" outlineLevel="0" collapsed="false">
      <c r="A247" s="6" t="s">
        <v>1603</v>
      </c>
      <c r="B247" s="6" t="s">
        <v>1182</v>
      </c>
      <c r="C247" s="6" t="s">
        <v>1183</v>
      </c>
      <c r="D247" s="6" t="s">
        <v>1604</v>
      </c>
      <c r="E247" s="6" t="s">
        <v>1605</v>
      </c>
      <c r="F247" s="6" t="s">
        <v>1606</v>
      </c>
      <c r="G247" s="6" t="s">
        <v>1607</v>
      </c>
      <c r="H247" s="6"/>
      <c r="I247" s="6" t="n">
        <v>0</v>
      </c>
    </row>
    <row r="248" customFormat="false" ht="23.25" hidden="false" customHeight="true" outlineLevel="0" collapsed="false">
      <c r="A248" s="6" t="s">
        <v>1603</v>
      </c>
      <c r="B248" s="6" t="s">
        <v>1184</v>
      </c>
      <c r="C248" s="6" t="s">
        <v>1185</v>
      </c>
      <c r="D248" s="6" t="s">
        <v>1604</v>
      </c>
      <c r="E248" s="6" t="s">
        <v>1605</v>
      </c>
      <c r="F248" s="6" t="s">
        <v>1606</v>
      </c>
      <c r="G248" s="6" t="s">
        <v>1607</v>
      </c>
      <c r="H248" s="6"/>
      <c r="I248" s="6" t="n">
        <v>0</v>
      </c>
    </row>
    <row r="249" customFormat="false" ht="23.25" hidden="false" customHeight="true" outlineLevel="0" collapsed="false">
      <c r="A249" s="6" t="s">
        <v>1603</v>
      </c>
      <c r="B249" s="6" t="s">
        <v>1186</v>
      </c>
      <c r="C249" s="6" t="s">
        <v>1187</v>
      </c>
      <c r="D249" s="6" t="s">
        <v>1604</v>
      </c>
      <c r="E249" s="6" t="s">
        <v>1605</v>
      </c>
      <c r="F249" s="6" t="s">
        <v>1606</v>
      </c>
      <c r="G249" s="6" t="s">
        <v>1607</v>
      </c>
      <c r="H249" s="6"/>
      <c r="I249" s="6" t="n">
        <v>0</v>
      </c>
    </row>
    <row r="250" customFormat="false" ht="23.25" hidden="false" customHeight="true" outlineLevel="0" collapsed="false">
      <c r="A250" s="6" t="s">
        <v>1603</v>
      </c>
      <c r="B250" s="6" t="s">
        <v>1188</v>
      </c>
      <c r="C250" s="6" t="s">
        <v>1189</v>
      </c>
      <c r="D250" s="6" t="s">
        <v>1604</v>
      </c>
      <c r="E250" s="6" t="s">
        <v>1605</v>
      </c>
      <c r="F250" s="6" t="s">
        <v>1606</v>
      </c>
      <c r="G250" s="6" t="s">
        <v>1607</v>
      </c>
      <c r="H250" s="6"/>
      <c r="I250" s="6" t="n">
        <v>0</v>
      </c>
    </row>
    <row r="251" customFormat="false" ht="23.25" hidden="false" customHeight="true" outlineLevel="0" collapsed="false">
      <c r="A251" s="6" t="s">
        <v>1603</v>
      </c>
      <c r="B251" s="6" t="s">
        <v>1190</v>
      </c>
      <c r="C251" s="6" t="s">
        <v>1191</v>
      </c>
      <c r="D251" s="6" t="s">
        <v>1604</v>
      </c>
      <c r="E251" s="6" t="s">
        <v>1605</v>
      </c>
      <c r="F251" s="6" t="s">
        <v>1606</v>
      </c>
      <c r="G251" s="6" t="s">
        <v>1607</v>
      </c>
      <c r="H251" s="6"/>
      <c r="I251" s="6" t="n">
        <v>0</v>
      </c>
    </row>
    <row r="252" customFormat="false" ht="23.25" hidden="false" customHeight="true" outlineLevel="0" collapsed="false">
      <c r="A252" s="6" t="s">
        <v>1603</v>
      </c>
      <c r="B252" s="6" t="s">
        <v>1192</v>
      </c>
      <c r="C252" s="6" t="s">
        <v>1193</v>
      </c>
      <c r="D252" s="6" t="s">
        <v>1604</v>
      </c>
      <c r="E252" s="6" t="s">
        <v>1605</v>
      </c>
      <c r="F252" s="6" t="s">
        <v>1606</v>
      </c>
      <c r="G252" s="6" t="s">
        <v>1607</v>
      </c>
      <c r="H252" s="6"/>
      <c r="I252" s="6" t="n">
        <v>1</v>
      </c>
    </row>
    <row r="253" customFormat="false" ht="23.25" hidden="false" customHeight="true" outlineLevel="0" collapsed="false">
      <c r="A253" s="6" t="s">
        <v>1603</v>
      </c>
      <c r="B253" s="6" t="s">
        <v>1194</v>
      </c>
      <c r="C253" s="6" t="s">
        <v>1195</v>
      </c>
      <c r="D253" s="6" t="s">
        <v>1604</v>
      </c>
      <c r="E253" s="6" t="s">
        <v>1605</v>
      </c>
      <c r="F253" s="6" t="s">
        <v>1606</v>
      </c>
      <c r="G253" s="6" t="s">
        <v>1607</v>
      </c>
      <c r="H253" s="6"/>
      <c r="I253" s="6" t="n">
        <v>0</v>
      </c>
    </row>
    <row r="254" customFormat="false" ht="23.25" hidden="false" customHeight="true" outlineLevel="0" collapsed="false">
      <c r="A254" s="6" t="s">
        <v>1603</v>
      </c>
      <c r="B254" s="6" t="s">
        <v>1196</v>
      </c>
      <c r="C254" s="6" t="s">
        <v>1197</v>
      </c>
      <c r="D254" s="6" t="s">
        <v>1604</v>
      </c>
      <c r="E254" s="6" t="s">
        <v>1605</v>
      </c>
      <c r="F254" s="6" t="s">
        <v>1606</v>
      </c>
      <c r="G254" s="6" t="s">
        <v>1607</v>
      </c>
      <c r="H254" s="6"/>
      <c r="I254" s="6" t="n">
        <v>0</v>
      </c>
    </row>
    <row r="255" customFormat="false" ht="23.25" hidden="false" customHeight="true" outlineLevel="0" collapsed="false">
      <c r="A255" s="6" t="s">
        <v>1603</v>
      </c>
      <c r="B255" s="6" t="s">
        <v>1196</v>
      </c>
      <c r="C255" s="6" t="s">
        <v>1765</v>
      </c>
      <c r="D255" s="6" t="s">
        <v>1604</v>
      </c>
      <c r="E255" s="6" t="s">
        <v>1605</v>
      </c>
      <c r="F255" s="6" t="s">
        <v>1606</v>
      </c>
      <c r="G255" s="6" t="s">
        <v>1607</v>
      </c>
      <c r="H255" s="6"/>
      <c r="I255" s="6" t="n">
        <v>0</v>
      </c>
    </row>
    <row r="256" customFormat="false" ht="23.25" hidden="false" customHeight="true" outlineLevel="0" collapsed="false">
      <c r="A256" s="6" t="s">
        <v>1603</v>
      </c>
      <c r="B256" s="6" t="s">
        <v>1196</v>
      </c>
      <c r="C256" s="6" t="s">
        <v>1766</v>
      </c>
      <c r="D256" s="6" t="s">
        <v>1604</v>
      </c>
      <c r="E256" s="6" t="s">
        <v>1605</v>
      </c>
      <c r="F256" s="6" t="s">
        <v>1606</v>
      </c>
      <c r="G256" s="6" t="s">
        <v>1607</v>
      </c>
      <c r="H256" s="6"/>
      <c r="I256" s="6" t="n">
        <v>0</v>
      </c>
    </row>
    <row r="257" customFormat="false" ht="23.25" hidden="false" customHeight="true" outlineLevel="0" collapsed="false">
      <c r="A257" s="6" t="s">
        <v>1603</v>
      </c>
      <c r="B257" s="6" t="s">
        <v>1196</v>
      </c>
      <c r="C257" s="6" t="s">
        <v>1767</v>
      </c>
      <c r="D257" s="6" t="s">
        <v>1604</v>
      </c>
      <c r="E257" s="6" t="s">
        <v>1605</v>
      </c>
      <c r="F257" s="6" t="s">
        <v>1606</v>
      </c>
      <c r="G257" s="6" t="s">
        <v>1607</v>
      </c>
      <c r="H257" s="6"/>
      <c r="I257" s="6" t="n">
        <v>0</v>
      </c>
    </row>
    <row r="258" customFormat="false" ht="23.25" hidden="false" customHeight="true" outlineLevel="0" collapsed="false">
      <c r="A258" s="6" t="s">
        <v>1603</v>
      </c>
      <c r="B258" s="6" t="s">
        <v>1198</v>
      </c>
      <c r="C258" s="6" t="s">
        <v>1199</v>
      </c>
      <c r="D258" s="6" t="s">
        <v>1604</v>
      </c>
      <c r="E258" s="6" t="s">
        <v>1605</v>
      </c>
      <c r="F258" s="6" t="s">
        <v>1606</v>
      </c>
      <c r="G258" s="6" t="s">
        <v>1607</v>
      </c>
      <c r="H258" s="6"/>
      <c r="I258" s="6" t="n">
        <v>0</v>
      </c>
    </row>
    <row r="259" customFormat="false" ht="23.25" hidden="false" customHeight="true" outlineLevel="0" collapsed="false">
      <c r="A259" s="6" t="s">
        <v>1603</v>
      </c>
      <c r="B259" s="6" t="s">
        <v>1200</v>
      </c>
      <c r="C259" s="6" t="s">
        <v>1201</v>
      </c>
      <c r="D259" s="6" t="s">
        <v>1604</v>
      </c>
      <c r="E259" s="6" t="s">
        <v>1605</v>
      </c>
      <c r="F259" s="6" t="s">
        <v>1606</v>
      </c>
      <c r="G259" s="6" t="s">
        <v>1607</v>
      </c>
      <c r="H259" s="6"/>
      <c r="I259" s="6" t="n">
        <v>1</v>
      </c>
    </row>
    <row r="260" customFormat="false" ht="23.25" hidden="false" customHeight="true" outlineLevel="0" collapsed="false">
      <c r="A260" s="6" t="s">
        <v>1603</v>
      </c>
      <c r="B260" s="6" t="s">
        <v>1202</v>
      </c>
      <c r="C260" s="6" t="s">
        <v>1203</v>
      </c>
      <c r="D260" s="6" t="s">
        <v>1604</v>
      </c>
      <c r="E260" s="6" t="s">
        <v>1605</v>
      </c>
      <c r="F260" s="6" t="s">
        <v>1606</v>
      </c>
      <c r="G260" s="6" t="s">
        <v>1607</v>
      </c>
      <c r="H260" s="6"/>
      <c r="I260" s="6" t="n">
        <v>0</v>
      </c>
    </row>
    <row r="261" customFormat="false" ht="23.25" hidden="false" customHeight="true" outlineLevel="0" collapsed="false">
      <c r="A261" s="6" t="s">
        <v>1603</v>
      </c>
      <c r="B261" s="6" t="s">
        <v>1204</v>
      </c>
      <c r="C261" s="6" t="s">
        <v>1205</v>
      </c>
      <c r="D261" s="6" t="s">
        <v>1604</v>
      </c>
      <c r="E261" s="6" t="s">
        <v>1605</v>
      </c>
      <c r="F261" s="6" t="s">
        <v>1606</v>
      </c>
      <c r="G261" s="6" t="s">
        <v>1607</v>
      </c>
      <c r="H261" s="6"/>
      <c r="I261" s="6" t="n">
        <v>1</v>
      </c>
    </row>
    <row r="262" customFormat="false" ht="23.25" hidden="false" customHeight="true" outlineLevel="0" collapsed="false">
      <c r="A262" s="6" t="s">
        <v>1603</v>
      </c>
      <c r="B262" s="6" t="s">
        <v>969</v>
      </c>
      <c r="C262" s="6" t="s">
        <v>970</v>
      </c>
      <c r="D262" s="6" t="s">
        <v>1768</v>
      </c>
      <c r="E262" s="6" t="s">
        <v>1605</v>
      </c>
      <c r="F262" s="6" t="s">
        <v>1606</v>
      </c>
      <c r="G262" s="6" t="s">
        <v>1607</v>
      </c>
      <c r="H262" s="6"/>
      <c r="I262" s="6" t="n">
        <v>84</v>
      </c>
    </row>
    <row r="263" customFormat="false" ht="23.25" hidden="false" customHeight="true" outlineLevel="0" collapsed="false">
      <c r="A263" s="6" t="s">
        <v>1603</v>
      </c>
      <c r="B263" s="6" t="s">
        <v>972</v>
      </c>
      <c r="C263" s="6" t="s">
        <v>973</v>
      </c>
      <c r="D263" s="6" t="s">
        <v>1768</v>
      </c>
      <c r="E263" s="6" t="s">
        <v>1605</v>
      </c>
      <c r="F263" s="6" t="s">
        <v>1606</v>
      </c>
      <c r="G263" s="6" t="s">
        <v>1607</v>
      </c>
      <c r="H263" s="6"/>
      <c r="I263" s="6" t="n">
        <v>13</v>
      </c>
    </row>
    <row r="264" customFormat="false" ht="23.25" hidden="false" customHeight="true" outlineLevel="0" collapsed="false">
      <c r="A264" s="6" t="s">
        <v>1603</v>
      </c>
      <c r="B264" s="6" t="s">
        <v>974</v>
      </c>
      <c r="C264" s="6" t="s">
        <v>975</v>
      </c>
      <c r="D264" s="6" t="s">
        <v>1768</v>
      </c>
      <c r="E264" s="6" t="s">
        <v>1605</v>
      </c>
      <c r="F264" s="6" t="s">
        <v>1606</v>
      </c>
      <c r="G264" s="6" t="s">
        <v>1607</v>
      </c>
      <c r="H264" s="6"/>
      <c r="I264" s="6" t="n">
        <v>21</v>
      </c>
    </row>
    <row r="265" customFormat="false" ht="23.25" hidden="false" customHeight="true" outlineLevel="0" collapsed="false">
      <c r="A265" s="6" t="s">
        <v>1603</v>
      </c>
      <c r="B265" s="6" t="s">
        <v>976</v>
      </c>
      <c r="C265" s="6" t="s">
        <v>977</v>
      </c>
      <c r="D265" s="6" t="s">
        <v>1768</v>
      </c>
      <c r="E265" s="6" t="s">
        <v>1605</v>
      </c>
      <c r="F265" s="6" t="s">
        <v>1606</v>
      </c>
      <c r="G265" s="6" t="s">
        <v>1607</v>
      </c>
      <c r="H265" s="6"/>
      <c r="I265" s="6" t="n">
        <v>12</v>
      </c>
    </row>
    <row r="266" customFormat="false" ht="23.25" hidden="false" customHeight="true" outlineLevel="0" collapsed="false">
      <c r="A266" s="6" t="s">
        <v>1603</v>
      </c>
      <c r="B266" s="6" t="s">
        <v>978</v>
      </c>
      <c r="C266" s="6" t="s">
        <v>979</v>
      </c>
      <c r="D266" s="6" t="s">
        <v>1768</v>
      </c>
      <c r="E266" s="6" t="s">
        <v>1605</v>
      </c>
      <c r="F266" s="6" t="s">
        <v>1606</v>
      </c>
      <c r="G266" s="6" t="s">
        <v>1607</v>
      </c>
      <c r="H266" s="6"/>
      <c r="I266" s="6" t="n">
        <v>311</v>
      </c>
    </row>
    <row r="267" customFormat="false" ht="23.25" hidden="false" customHeight="true" outlineLevel="0" collapsed="false">
      <c r="A267" s="6" t="s">
        <v>1603</v>
      </c>
      <c r="B267" s="6" t="s">
        <v>980</v>
      </c>
      <c r="C267" s="6" t="s">
        <v>981</v>
      </c>
      <c r="D267" s="6" t="s">
        <v>1768</v>
      </c>
      <c r="E267" s="6" t="s">
        <v>1605</v>
      </c>
      <c r="F267" s="6" t="s">
        <v>1606</v>
      </c>
      <c r="G267" s="6" t="s">
        <v>1607</v>
      </c>
      <c r="H267" s="6"/>
      <c r="I267" s="6" t="n">
        <v>43</v>
      </c>
    </row>
    <row r="268" customFormat="false" ht="23.25" hidden="false" customHeight="true" outlineLevel="0" collapsed="false">
      <c r="A268" s="6" t="s">
        <v>1603</v>
      </c>
      <c r="B268" s="6" t="s">
        <v>982</v>
      </c>
      <c r="C268" s="6" t="s">
        <v>983</v>
      </c>
      <c r="D268" s="6" t="s">
        <v>1768</v>
      </c>
      <c r="E268" s="6" t="s">
        <v>1605</v>
      </c>
      <c r="F268" s="6" t="s">
        <v>1606</v>
      </c>
      <c r="G268" s="6" t="s">
        <v>1607</v>
      </c>
      <c r="H268" s="6"/>
      <c r="I268" s="6" t="n">
        <v>18</v>
      </c>
    </row>
    <row r="269" customFormat="false" ht="23.25" hidden="false" customHeight="true" outlineLevel="0" collapsed="false">
      <c r="A269" s="6" t="s">
        <v>1603</v>
      </c>
      <c r="B269" s="6" t="s">
        <v>984</v>
      </c>
      <c r="C269" s="6" t="s">
        <v>985</v>
      </c>
      <c r="D269" s="6" t="s">
        <v>1768</v>
      </c>
      <c r="E269" s="6" t="s">
        <v>1605</v>
      </c>
      <c r="F269" s="6" t="s">
        <v>1606</v>
      </c>
      <c r="G269" s="6" t="s">
        <v>1607</v>
      </c>
      <c r="H269" s="6"/>
      <c r="I269" s="6" t="n">
        <v>16</v>
      </c>
    </row>
    <row r="270" customFormat="false" ht="23.25" hidden="false" customHeight="true" outlineLevel="0" collapsed="false">
      <c r="A270" s="6" t="s">
        <v>1603</v>
      </c>
      <c r="B270" s="6" t="s">
        <v>986</v>
      </c>
      <c r="C270" s="6" t="s">
        <v>987</v>
      </c>
      <c r="D270" s="6" t="s">
        <v>1768</v>
      </c>
      <c r="E270" s="6" t="s">
        <v>1605</v>
      </c>
      <c r="F270" s="6" t="s">
        <v>1606</v>
      </c>
      <c r="G270" s="6" t="s">
        <v>1607</v>
      </c>
      <c r="H270" s="6"/>
      <c r="I270" s="6" t="n">
        <v>9</v>
      </c>
    </row>
    <row r="271" customFormat="false" ht="23.25" hidden="false" customHeight="true" outlineLevel="0" collapsed="false">
      <c r="A271" s="6" t="s">
        <v>1603</v>
      </c>
      <c r="B271" s="6" t="s">
        <v>988</v>
      </c>
      <c r="C271" s="6" t="s">
        <v>989</v>
      </c>
      <c r="D271" s="6" t="s">
        <v>1768</v>
      </c>
      <c r="E271" s="6" t="s">
        <v>1605</v>
      </c>
      <c r="F271" s="6" t="s">
        <v>1606</v>
      </c>
      <c r="G271" s="6" t="s">
        <v>1607</v>
      </c>
      <c r="H271" s="6"/>
      <c r="I271" s="6" t="n">
        <v>19</v>
      </c>
    </row>
    <row r="272" customFormat="false" ht="23.25" hidden="false" customHeight="true" outlineLevel="0" collapsed="false">
      <c r="A272" s="6" t="s">
        <v>1603</v>
      </c>
      <c r="B272" s="6" t="s">
        <v>990</v>
      </c>
      <c r="C272" s="6" t="s">
        <v>991</v>
      </c>
      <c r="D272" s="6" t="s">
        <v>1768</v>
      </c>
      <c r="E272" s="6" t="s">
        <v>1605</v>
      </c>
      <c r="F272" s="6" t="s">
        <v>1606</v>
      </c>
      <c r="G272" s="6" t="s">
        <v>1607</v>
      </c>
      <c r="H272" s="6"/>
      <c r="I272" s="6" t="n">
        <v>10</v>
      </c>
    </row>
    <row r="273" customFormat="false" ht="23.25" hidden="false" customHeight="true" outlineLevel="0" collapsed="false">
      <c r="A273" s="6" t="s">
        <v>1603</v>
      </c>
      <c r="B273" s="6" t="s">
        <v>728</v>
      </c>
      <c r="C273" s="6" t="s">
        <v>729</v>
      </c>
      <c r="D273" s="6" t="s">
        <v>1768</v>
      </c>
      <c r="E273" s="6" t="s">
        <v>1605</v>
      </c>
      <c r="F273" s="6" t="s">
        <v>1606</v>
      </c>
      <c r="G273" s="6" t="s">
        <v>1607</v>
      </c>
      <c r="H273" s="6"/>
      <c r="I273" s="6" t="n">
        <v>143</v>
      </c>
    </row>
    <row r="274" customFormat="false" ht="23.25" hidden="false" customHeight="true" outlineLevel="0" collapsed="false">
      <c r="A274" s="6" t="s">
        <v>1603</v>
      </c>
      <c r="B274" s="6" t="s">
        <v>732</v>
      </c>
      <c r="C274" s="6" t="s">
        <v>733</v>
      </c>
      <c r="D274" s="6" t="s">
        <v>1768</v>
      </c>
      <c r="E274" s="6" t="s">
        <v>1605</v>
      </c>
      <c r="F274" s="6" t="s">
        <v>1606</v>
      </c>
      <c r="G274" s="6" t="s">
        <v>1607</v>
      </c>
      <c r="H274" s="6"/>
      <c r="I274" s="6" t="n">
        <v>24</v>
      </c>
    </row>
    <row r="275" customFormat="false" ht="23.25" hidden="false" customHeight="true" outlineLevel="0" collapsed="false">
      <c r="A275" s="6" t="s">
        <v>1603</v>
      </c>
      <c r="B275" s="6" t="s">
        <v>734</v>
      </c>
      <c r="C275" s="6" t="s">
        <v>735</v>
      </c>
      <c r="D275" s="6" t="s">
        <v>1768</v>
      </c>
      <c r="E275" s="6" t="s">
        <v>1605</v>
      </c>
      <c r="F275" s="6" t="s">
        <v>1606</v>
      </c>
      <c r="G275" s="6" t="s">
        <v>1607</v>
      </c>
      <c r="H275" s="6"/>
      <c r="I275" s="6" t="n">
        <v>391</v>
      </c>
    </row>
    <row r="276" customFormat="false" ht="23.25" hidden="false" customHeight="true" outlineLevel="0" collapsed="false">
      <c r="A276" s="6" t="s">
        <v>1603</v>
      </c>
      <c r="B276" s="6" t="s">
        <v>736</v>
      </c>
      <c r="C276" s="6" t="s">
        <v>737</v>
      </c>
      <c r="D276" s="6" t="s">
        <v>1768</v>
      </c>
      <c r="E276" s="6" t="s">
        <v>1605</v>
      </c>
      <c r="F276" s="6" t="s">
        <v>1606</v>
      </c>
      <c r="G276" s="6" t="s">
        <v>1607</v>
      </c>
      <c r="H276" s="6"/>
      <c r="I276" s="6" t="n">
        <v>255</v>
      </c>
    </row>
    <row r="277" customFormat="false" ht="23.25" hidden="false" customHeight="true" outlineLevel="0" collapsed="false">
      <c r="A277" s="6" t="s">
        <v>1603</v>
      </c>
      <c r="B277" s="6" t="s">
        <v>738</v>
      </c>
      <c r="C277" s="6" t="s">
        <v>739</v>
      </c>
      <c r="D277" s="6" t="s">
        <v>1768</v>
      </c>
      <c r="E277" s="6" t="s">
        <v>1605</v>
      </c>
      <c r="F277" s="6" t="s">
        <v>1606</v>
      </c>
      <c r="G277" s="6" t="s">
        <v>1607</v>
      </c>
      <c r="H277" s="6"/>
      <c r="I277" s="6" t="n">
        <v>219</v>
      </c>
    </row>
    <row r="278" customFormat="false" ht="23.25" hidden="false" customHeight="true" outlineLevel="0" collapsed="false">
      <c r="A278" s="6" t="s">
        <v>1603</v>
      </c>
      <c r="B278" s="6" t="s">
        <v>740</v>
      </c>
      <c r="C278" s="6" t="s">
        <v>741</v>
      </c>
      <c r="D278" s="6" t="s">
        <v>1768</v>
      </c>
      <c r="E278" s="6" t="s">
        <v>1605</v>
      </c>
      <c r="F278" s="6" t="s">
        <v>1606</v>
      </c>
      <c r="G278" s="6" t="s">
        <v>1607</v>
      </c>
      <c r="H278" s="6"/>
      <c r="I278" s="6" t="n">
        <v>201</v>
      </c>
    </row>
    <row r="279" customFormat="false" ht="23.25" hidden="false" customHeight="true" outlineLevel="0" collapsed="false">
      <c r="A279" s="6" t="s">
        <v>1603</v>
      </c>
      <c r="B279" s="6" t="s">
        <v>740</v>
      </c>
      <c r="C279" s="6" t="s">
        <v>1769</v>
      </c>
      <c r="D279" s="6" t="s">
        <v>1768</v>
      </c>
      <c r="E279" s="6" t="s">
        <v>1605</v>
      </c>
      <c r="F279" s="6" t="s">
        <v>1606</v>
      </c>
      <c r="G279" s="6" t="s">
        <v>1607</v>
      </c>
      <c r="H279" s="6"/>
      <c r="I279" s="6" t="n">
        <v>158</v>
      </c>
    </row>
    <row r="280" customFormat="false" ht="23.25" hidden="false" customHeight="true" outlineLevel="0" collapsed="false">
      <c r="A280" s="6" t="s">
        <v>1603</v>
      </c>
      <c r="B280" s="6" t="s">
        <v>740</v>
      </c>
      <c r="C280" s="6" t="s">
        <v>1770</v>
      </c>
      <c r="D280" s="6" t="s">
        <v>1768</v>
      </c>
      <c r="E280" s="6" t="s">
        <v>1605</v>
      </c>
      <c r="F280" s="6" t="s">
        <v>1606</v>
      </c>
      <c r="G280" s="6" t="s">
        <v>1607</v>
      </c>
      <c r="H280" s="6"/>
      <c r="I280" s="6" t="n">
        <v>170</v>
      </c>
    </row>
    <row r="281" customFormat="false" ht="23.25" hidden="false" customHeight="true" outlineLevel="0" collapsed="false">
      <c r="A281" s="6" t="s">
        <v>1603</v>
      </c>
      <c r="B281" s="6" t="s">
        <v>740</v>
      </c>
      <c r="C281" s="6" t="s">
        <v>1771</v>
      </c>
      <c r="D281" s="6" t="s">
        <v>1768</v>
      </c>
      <c r="E281" s="6" t="s">
        <v>1605</v>
      </c>
      <c r="F281" s="6" t="s">
        <v>1606</v>
      </c>
      <c r="G281" s="6" t="s">
        <v>1607</v>
      </c>
      <c r="H281" s="6"/>
      <c r="I281" s="6" t="n">
        <v>166</v>
      </c>
    </row>
    <row r="282" customFormat="false" ht="23.25" hidden="false" customHeight="true" outlineLevel="0" collapsed="false">
      <c r="A282" s="6" t="s">
        <v>1603</v>
      </c>
      <c r="B282" s="6" t="s">
        <v>740</v>
      </c>
      <c r="C282" s="6" t="s">
        <v>1772</v>
      </c>
      <c r="D282" s="6" t="s">
        <v>1768</v>
      </c>
      <c r="E282" s="6" t="s">
        <v>1605</v>
      </c>
      <c r="F282" s="6" t="s">
        <v>1606</v>
      </c>
      <c r="G282" s="6" t="s">
        <v>1607</v>
      </c>
      <c r="H282" s="6"/>
      <c r="I282" s="6" t="n">
        <v>153</v>
      </c>
    </row>
    <row r="283" customFormat="false" ht="23.25" hidden="false" customHeight="true" outlineLevel="0" collapsed="false">
      <c r="A283" s="6" t="s">
        <v>1603</v>
      </c>
      <c r="B283" s="6" t="s">
        <v>742</v>
      </c>
      <c r="C283" s="6" t="s">
        <v>743</v>
      </c>
      <c r="D283" s="6" t="s">
        <v>1768</v>
      </c>
      <c r="E283" s="6" t="s">
        <v>1605</v>
      </c>
      <c r="F283" s="6" t="s">
        <v>1606</v>
      </c>
      <c r="G283" s="6" t="s">
        <v>1607</v>
      </c>
      <c r="H283" s="6"/>
      <c r="I283" s="6" t="n">
        <v>148</v>
      </c>
    </row>
    <row r="284" customFormat="false" ht="23.25" hidden="false" customHeight="true" outlineLevel="0" collapsed="false">
      <c r="A284" s="6" t="s">
        <v>1603</v>
      </c>
      <c r="B284" s="6" t="s">
        <v>744</v>
      </c>
      <c r="C284" s="6" t="s">
        <v>745</v>
      </c>
      <c r="D284" s="6" t="s">
        <v>1768</v>
      </c>
      <c r="E284" s="6" t="s">
        <v>1605</v>
      </c>
      <c r="F284" s="6" t="s">
        <v>1606</v>
      </c>
      <c r="G284" s="6" t="s">
        <v>1607</v>
      </c>
      <c r="H284" s="6"/>
      <c r="I284" s="6" t="n">
        <v>193</v>
      </c>
    </row>
    <row r="285" customFormat="false" ht="23.25" hidden="false" customHeight="true" outlineLevel="0" collapsed="false">
      <c r="A285" s="6" t="s">
        <v>1603</v>
      </c>
      <c r="B285" s="6" t="s">
        <v>746</v>
      </c>
      <c r="C285" s="6" t="s">
        <v>747</v>
      </c>
      <c r="D285" s="6" t="s">
        <v>1768</v>
      </c>
      <c r="E285" s="6" t="s">
        <v>1605</v>
      </c>
      <c r="F285" s="6" t="s">
        <v>1606</v>
      </c>
      <c r="G285" s="6" t="s">
        <v>1607</v>
      </c>
      <c r="H285" s="6"/>
      <c r="I285" s="6" t="n">
        <v>160</v>
      </c>
    </row>
    <row r="286" customFormat="false" ht="23.25" hidden="false" customHeight="true" outlineLevel="0" collapsed="false">
      <c r="A286" s="6" t="s">
        <v>1603</v>
      </c>
      <c r="B286" s="6" t="s">
        <v>748</v>
      </c>
      <c r="C286" s="6" t="s">
        <v>749</v>
      </c>
      <c r="D286" s="6" t="s">
        <v>1768</v>
      </c>
      <c r="E286" s="6" t="s">
        <v>1605</v>
      </c>
      <c r="F286" s="6" t="s">
        <v>1606</v>
      </c>
      <c r="G286" s="6" t="s">
        <v>1607</v>
      </c>
      <c r="H286" s="6"/>
      <c r="I286" s="6" t="n">
        <v>194</v>
      </c>
    </row>
    <row r="287" customFormat="false" ht="23.25" hidden="false" customHeight="true" outlineLevel="0" collapsed="false">
      <c r="A287" s="6" t="s">
        <v>1603</v>
      </c>
      <c r="B287" s="6" t="s">
        <v>1411</v>
      </c>
      <c r="C287" s="6" t="s">
        <v>1412</v>
      </c>
      <c r="D287" s="6" t="s">
        <v>1768</v>
      </c>
      <c r="E287" s="6" t="s">
        <v>1605</v>
      </c>
      <c r="F287" s="6" t="s">
        <v>1606</v>
      </c>
      <c r="G287" s="6" t="s">
        <v>1607</v>
      </c>
      <c r="H287" s="6"/>
      <c r="I287" s="6" t="n">
        <v>72</v>
      </c>
    </row>
    <row r="288" customFormat="false" ht="23.25" hidden="false" customHeight="true" outlineLevel="0" collapsed="false">
      <c r="A288" s="6" t="s">
        <v>1603</v>
      </c>
      <c r="B288" s="6" t="s">
        <v>1414</v>
      </c>
      <c r="C288" s="6" t="s">
        <v>1415</v>
      </c>
      <c r="D288" s="6" t="s">
        <v>1768</v>
      </c>
      <c r="E288" s="6" t="s">
        <v>1605</v>
      </c>
      <c r="F288" s="6" t="s">
        <v>1606</v>
      </c>
      <c r="G288" s="6" t="s">
        <v>1607</v>
      </c>
      <c r="H288" s="6"/>
      <c r="I288" s="6" t="n">
        <v>5</v>
      </c>
    </row>
    <row r="289" customFormat="false" ht="23.25" hidden="false" customHeight="true" outlineLevel="0" collapsed="false">
      <c r="A289" s="6" t="s">
        <v>1603</v>
      </c>
      <c r="B289" s="6" t="s">
        <v>1416</v>
      </c>
      <c r="C289" s="6" t="s">
        <v>1417</v>
      </c>
      <c r="D289" s="6" t="s">
        <v>1768</v>
      </c>
      <c r="E289" s="6" t="s">
        <v>1605</v>
      </c>
      <c r="F289" s="6" t="s">
        <v>1606</v>
      </c>
      <c r="G289" s="6" t="s">
        <v>1607</v>
      </c>
      <c r="H289" s="6"/>
      <c r="I289" s="6" t="n">
        <v>10</v>
      </c>
    </row>
    <row r="290" customFormat="false" ht="23.25" hidden="false" customHeight="true" outlineLevel="0" collapsed="false">
      <c r="A290" s="6" t="s">
        <v>1603</v>
      </c>
      <c r="B290" s="6" t="s">
        <v>1418</v>
      </c>
      <c r="C290" s="6" t="s">
        <v>1419</v>
      </c>
      <c r="D290" s="6" t="s">
        <v>1768</v>
      </c>
      <c r="E290" s="6" t="s">
        <v>1605</v>
      </c>
      <c r="F290" s="6" t="s">
        <v>1606</v>
      </c>
      <c r="G290" s="6" t="s">
        <v>1607</v>
      </c>
      <c r="H290" s="6"/>
      <c r="I290" s="6" t="n">
        <v>3</v>
      </c>
    </row>
    <row r="291" customFormat="false" ht="23.25" hidden="false" customHeight="true" outlineLevel="0" collapsed="false">
      <c r="A291" s="6" t="s">
        <v>1603</v>
      </c>
      <c r="B291" s="6" t="s">
        <v>1420</v>
      </c>
      <c r="C291" s="6" t="s">
        <v>1421</v>
      </c>
      <c r="D291" s="6" t="s">
        <v>1768</v>
      </c>
      <c r="E291" s="6" t="s">
        <v>1605</v>
      </c>
      <c r="F291" s="6" t="s">
        <v>1606</v>
      </c>
      <c r="G291" s="6" t="s">
        <v>1607</v>
      </c>
      <c r="H291" s="6"/>
      <c r="I291" s="6" t="n">
        <v>6</v>
      </c>
    </row>
    <row r="292" customFormat="false" ht="23.25" hidden="false" customHeight="true" outlineLevel="0" collapsed="false">
      <c r="A292" s="6" t="s">
        <v>1603</v>
      </c>
      <c r="B292" s="6" t="s">
        <v>750</v>
      </c>
      <c r="C292" s="6" t="s">
        <v>751</v>
      </c>
      <c r="D292" s="6" t="s">
        <v>1768</v>
      </c>
      <c r="E292" s="6" t="s">
        <v>1605</v>
      </c>
      <c r="F292" s="6" t="s">
        <v>1606</v>
      </c>
      <c r="G292" s="6" t="s">
        <v>1607</v>
      </c>
      <c r="H292" s="6"/>
      <c r="I292" s="6" t="n">
        <v>174</v>
      </c>
    </row>
    <row r="293" customFormat="false" ht="23.25" hidden="false" customHeight="true" outlineLevel="0" collapsed="false">
      <c r="A293" s="6" t="s">
        <v>1603</v>
      </c>
      <c r="B293" s="6" t="s">
        <v>753</v>
      </c>
      <c r="C293" s="6" t="s">
        <v>754</v>
      </c>
      <c r="D293" s="6" t="s">
        <v>1768</v>
      </c>
      <c r="E293" s="6" t="s">
        <v>1605</v>
      </c>
      <c r="F293" s="6" t="s">
        <v>1606</v>
      </c>
      <c r="G293" s="6" t="s">
        <v>1607</v>
      </c>
      <c r="H293" s="6"/>
      <c r="I293" s="6" t="n">
        <v>27</v>
      </c>
    </row>
    <row r="294" customFormat="false" ht="23.25" hidden="false" customHeight="true" outlineLevel="0" collapsed="false">
      <c r="A294" s="6" t="s">
        <v>1603</v>
      </c>
      <c r="B294" s="6" t="s">
        <v>755</v>
      </c>
      <c r="C294" s="6" t="s">
        <v>756</v>
      </c>
      <c r="D294" s="6" t="s">
        <v>1768</v>
      </c>
      <c r="E294" s="6" t="s">
        <v>1605</v>
      </c>
      <c r="F294" s="6" t="s">
        <v>1606</v>
      </c>
      <c r="G294" s="6" t="s">
        <v>1607</v>
      </c>
      <c r="H294" s="6"/>
      <c r="I294" s="6" t="n">
        <v>137</v>
      </c>
    </row>
    <row r="295" customFormat="false" ht="23.25" hidden="false" customHeight="true" outlineLevel="0" collapsed="false">
      <c r="A295" s="6" t="s">
        <v>1603</v>
      </c>
      <c r="B295" s="6" t="s">
        <v>757</v>
      </c>
      <c r="C295" s="6" t="s">
        <v>758</v>
      </c>
      <c r="D295" s="6" t="s">
        <v>1768</v>
      </c>
      <c r="E295" s="6" t="s">
        <v>1605</v>
      </c>
      <c r="F295" s="6" t="s">
        <v>1606</v>
      </c>
      <c r="G295" s="6" t="s">
        <v>1607</v>
      </c>
      <c r="H295" s="6"/>
      <c r="I295" s="6" t="n">
        <v>394</v>
      </c>
    </row>
    <row r="296" customFormat="false" ht="23.25" hidden="false" customHeight="true" outlineLevel="0" collapsed="false">
      <c r="A296" s="6" t="s">
        <v>1603</v>
      </c>
      <c r="B296" s="6" t="s">
        <v>757</v>
      </c>
      <c r="C296" s="6" t="s">
        <v>1773</v>
      </c>
      <c r="D296" s="6" t="s">
        <v>1768</v>
      </c>
      <c r="E296" s="6" t="s">
        <v>1605</v>
      </c>
      <c r="F296" s="6" t="s">
        <v>1606</v>
      </c>
      <c r="G296" s="6" t="s">
        <v>1607</v>
      </c>
      <c r="H296" s="6"/>
      <c r="I296" s="6" t="n">
        <v>231</v>
      </c>
    </row>
    <row r="297" customFormat="false" ht="23.25" hidden="false" customHeight="true" outlineLevel="0" collapsed="false">
      <c r="A297" s="6" t="s">
        <v>1603</v>
      </c>
      <c r="B297" s="6" t="s">
        <v>757</v>
      </c>
      <c r="C297" s="6" t="s">
        <v>1774</v>
      </c>
      <c r="D297" s="6" t="s">
        <v>1768</v>
      </c>
      <c r="E297" s="6" t="s">
        <v>1605</v>
      </c>
      <c r="F297" s="6" t="s">
        <v>1606</v>
      </c>
      <c r="G297" s="6" t="s">
        <v>1607</v>
      </c>
      <c r="H297" s="6"/>
      <c r="I297" s="6" t="n">
        <v>208</v>
      </c>
    </row>
    <row r="298" customFormat="false" ht="23.25" hidden="false" customHeight="true" outlineLevel="0" collapsed="false">
      <c r="A298" s="6" t="s">
        <v>1603</v>
      </c>
      <c r="B298" s="6" t="s">
        <v>759</v>
      </c>
      <c r="C298" s="6" t="s">
        <v>760</v>
      </c>
      <c r="D298" s="6" t="s">
        <v>1768</v>
      </c>
      <c r="E298" s="6" t="s">
        <v>1605</v>
      </c>
      <c r="F298" s="6" t="s">
        <v>1606</v>
      </c>
      <c r="G298" s="6" t="s">
        <v>1607</v>
      </c>
      <c r="H298" s="6"/>
      <c r="I298" s="6" t="n">
        <v>271</v>
      </c>
    </row>
    <row r="299" customFormat="false" ht="23.25" hidden="false" customHeight="true" outlineLevel="0" collapsed="false">
      <c r="A299" s="6" t="s">
        <v>1603</v>
      </c>
      <c r="B299" s="6" t="s">
        <v>761</v>
      </c>
      <c r="C299" s="6" t="s">
        <v>762</v>
      </c>
      <c r="D299" s="6" t="s">
        <v>1768</v>
      </c>
      <c r="E299" s="6" t="s">
        <v>1605</v>
      </c>
      <c r="F299" s="6" t="s">
        <v>1606</v>
      </c>
      <c r="G299" s="6" t="s">
        <v>1607</v>
      </c>
      <c r="H299" s="6"/>
      <c r="I299" s="6" t="n">
        <v>239</v>
      </c>
    </row>
    <row r="300" customFormat="false" ht="23.25" hidden="false" customHeight="true" outlineLevel="0" collapsed="false">
      <c r="A300" s="6" t="s">
        <v>1603</v>
      </c>
      <c r="B300" s="6" t="s">
        <v>763</v>
      </c>
      <c r="C300" s="6" t="s">
        <v>764</v>
      </c>
      <c r="D300" s="6" t="s">
        <v>1768</v>
      </c>
      <c r="E300" s="6" t="s">
        <v>1605</v>
      </c>
      <c r="F300" s="6" t="s">
        <v>1606</v>
      </c>
      <c r="G300" s="6" t="s">
        <v>1607</v>
      </c>
      <c r="H300" s="6"/>
      <c r="I300" s="6" t="n">
        <v>687</v>
      </c>
    </row>
    <row r="301" customFormat="false" ht="23.25" hidden="false" customHeight="true" outlineLevel="0" collapsed="false">
      <c r="A301" s="6" t="s">
        <v>1603</v>
      </c>
      <c r="B301" s="6" t="s">
        <v>765</v>
      </c>
      <c r="C301" s="6" t="s">
        <v>766</v>
      </c>
      <c r="D301" s="6" t="s">
        <v>1768</v>
      </c>
      <c r="E301" s="6" t="s">
        <v>1605</v>
      </c>
      <c r="F301" s="6" t="s">
        <v>1606</v>
      </c>
      <c r="G301" s="6" t="s">
        <v>1607</v>
      </c>
      <c r="H301" s="6"/>
      <c r="I301" s="6" t="n">
        <v>677</v>
      </c>
    </row>
    <row r="302" customFormat="false" ht="23.25" hidden="false" customHeight="true" outlineLevel="0" collapsed="false">
      <c r="A302" s="6" t="s">
        <v>1603</v>
      </c>
      <c r="B302" s="6" t="s">
        <v>767</v>
      </c>
      <c r="C302" s="6" t="s">
        <v>768</v>
      </c>
      <c r="D302" s="6" t="s">
        <v>1768</v>
      </c>
      <c r="E302" s="6" t="s">
        <v>1605</v>
      </c>
      <c r="F302" s="6" t="s">
        <v>1606</v>
      </c>
      <c r="G302" s="6" t="s">
        <v>1607</v>
      </c>
      <c r="H302" s="6"/>
      <c r="I302" s="6" t="n">
        <v>312</v>
      </c>
    </row>
    <row r="303" customFormat="false" ht="23.25" hidden="false" customHeight="true" outlineLevel="0" collapsed="false">
      <c r="A303" s="6" t="s">
        <v>1603</v>
      </c>
      <c r="B303" s="6" t="s">
        <v>769</v>
      </c>
      <c r="C303" s="6" t="s">
        <v>770</v>
      </c>
      <c r="D303" s="6" t="s">
        <v>1768</v>
      </c>
      <c r="E303" s="6" t="s">
        <v>1605</v>
      </c>
      <c r="F303" s="6" t="s">
        <v>1606</v>
      </c>
      <c r="G303" s="6" t="s">
        <v>1607</v>
      </c>
      <c r="H303" s="6"/>
      <c r="I303" s="6" t="n">
        <v>174</v>
      </c>
    </row>
    <row r="304" customFormat="false" ht="23.25" hidden="false" customHeight="true" outlineLevel="0" collapsed="false">
      <c r="A304" s="6" t="s">
        <v>1603</v>
      </c>
      <c r="B304" s="6" t="s">
        <v>771</v>
      </c>
      <c r="C304" s="6" t="s">
        <v>1775</v>
      </c>
      <c r="D304" s="6" t="s">
        <v>1768</v>
      </c>
      <c r="E304" s="6" t="s">
        <v>1605</v>
      </c>
      <c r="F304" s="6" t="s">
        <v>1606</v>
      </c>
      <c r="G304" s="6" t="s">
        <v>1607</v>
      </c>
      <c r="H304" s="6"/>
      <c r="I304" s="6" t="n">
        <v>209</v>
      </c>
    </row>
    <row r="305" customFormat="false" ht="23.25" hidden="false" customHeight="true" outlineLevel="0" collapsed="false">
      <c r="A305" s="6" t="s">
        <v>1603</v>
      </c>
      <c r="B305" s="6" t="s">
        <v>773</v>
      </c>
      <c r="C305" s="6" t="s">
        <v>774</v>
      </c>
      <c r="D305" s="6" t="s">
        <v>1768</v>
      </c>
      <c r="E305" s="6" t="s">
        <v>1605</v>
      </c>
      <c r="F305" s="6" t="s">
        <v>1606</v>
      </c>
      <c r="G305" s="6" t="s">
        <v>1607</v>
      </c>
      <c r="H305" s="6"/>
      <c r="I305" s="6" t="n">
        <v>172</v>
      </c>
    </row>
    <row r="306" customFormat="false" ht="23.25" hidden="false" customHeight="true" outlineLevel="0" collapsed="false">
      <c r="A306" s="6" t="s">
        <v>1603</v>
      </c>
      <c r="B306" s="6" t="s">
        <v>775</v>
      </c>
      <c r="C306" s="6" t="s">
        <v>776</v>
      </c>
      <c r="D306" s="6" t="s">
        <v>1768</v>
      </c>
      <c r="E306" s="6" t="s">
        <v>1605</v>
      </c>
      <c r="F306" s="6" t="s">
        <v>1606</v>
      </c>
      <c r="G306" s="6" t="s">
        <v>1607</v>
      </c>
      <c r="H306" s="6"/>
      <c r="I306" s="6" t="n">
        <v>217</v>
      </c>
    </row>
    <row r="307" customFormat="false" ht="23.25" hidden="false" customHeight="true" outlineLevel="0" collapsed="false">
      <c r="A307" s="6" t="s">
        <v>1603</v>
      </c>
      <c r="B307" s="6" t="s">
        <v>777</v>
      </c>
      <c r="C307" s="6" t="s">
        <v>778</v>
      </c>
      <c r="D307" s="6" t="s">
        <v>1768</v>
      </c>
      <c r="E307" s="6" t="s">
        <v>1605</v>
      </c>
      <c r="F307" s="6" t="s">
        <v>1606</v>
      </c>
      <c r="G307" s="6" t="s">
        <v>1607</v>
      </c>
      <c r="H307" s="6"/>
      <c r="I307" s="6" t="n">
        <v>208</v>
      </c>
    </row>
    <row r="308" customFormat="false" ht="23.25" hidden="false" customHeight="true" outlineLevel="0" collapsed="false">
      <c r="A308" s="6" t="s">
        <v>1603</v>
      </c>
      <c r="B308" s="6" t="s">
        <v>779</v>
      </c>
      <c r="C308" s="6" t="s">
        <v>780</v>
      </c>
      <c r="D308" s="6" t="s">
        <v>1768</v>
      </c>
      <c r="E308" s="6" t="s">
        <v>1605</v>
      </c>
      <c r="F308" s="6" t="s">
        <v>1606</v>
      </c>
      <c r="G308" s="6" t="s">
        <v>1632</v>
      </c>
      <c r="H308" s="6" t="s">
        <v>663</v>
      </c>
      <c r="I308" s="6" t="n">
        <v>180</v>
      </c>
    </row>
    <row r="309" customFormat="false" ht="23.25" hidden="false" customHeight="true" outlineLevel="0" collapsed="false">
      <c r="A309" s="6" t="s">
        <v>1603</v>
      </c>
      <c r="B309" s="6" t="s">
        <v>1432</v>
      </c>
      <c r="C309" s="6" t="s">
        <v>1433</v>
      </c>
      <c r="D309" s="6" t="s">
        <v>1776</v>
      </c>
      <c r="E309" s="6" t="s">
        <v>1605</v>
      </c>
      <c r="F309" s="6" t="s">
        <v>1606</v>
      </c>
      <c r="G309" s="6" t="s">
        <v>1607</v>
      </c>
      <c r="H309" s="6"/>
      <c r="I309" s="6" t="n">
        <v>4</v>
      </c>
    </row>
    <row r="310" customFormat="false" ht="23.25" hidden="false" customHeight="true" outlineLevel="0" collapsed="false">
      <c r="A310" s="6" t="s">
        <v>1603</v>
      </c>
      <c r="B310" s="6" t="s">
        <v>1435</v>
      </c>
      <c r="C310" s="6" t="s">
        <v>1436</v>
      </c>
      <c r="D310" s="6" t="s">
        <v>1776</v>
      </c>
      <c r="E310" s="6" t="s">
        <v>1605</v>
      </c>
      <c r="F310" s="6" t="s">
        <v>1606</v>
      </c>
      <c r="G310" s="6" t="s">
        <v>1607</v>
      </c>
      <c r="H310" s="6"/>
      <c r="I310" s="6" t="n">
        <v>172</v>
      </c>
    </row>
    <row r="311" customFormat="false" ht="23.25" hidden="false" customHeight="true" outlineLevel="0" collapsed="false">
      <c r="A311" s="6" t="s">
        <v>1603</v>
      </c>
      <c r="B311" s="6" t="s">
        <v>1437</v>
      </c>
      <c r="C311" s="6" t="s">
        <v>1438</v>
      </c>
      <c r="D311" s="6" t="s">
        <v>1776</v>
      </c>
      <c r="E311" s="6" t="s">
        <v>1605</v>
      </c>
      <c r="F311" s="6" t="s">
        <v>1606</v>
      </c>
      <c r="G311" s="6" t="s">
        <v>1607</v>
      </c>
      <c r="H311" s="6"/>
      <c r="I311" s="6" t="n">
        <v>30</v>
      </c>
    </row>
    <row r="312" customFormat="false" ht="23.25" hidden="false" customHeight="true" outlineLevel="0" collapsed="false">
      <c r="A312" s="6" t="s">
        <v>1603</v>
      </c>
      <c r="B312" s="6" t="s">
        <v>1439</v>
      </c>
      <c r="C312" s="6" t="s">
        <v>1440</v>
      </c>
      <c r="D312" s="6" t="s">
        <v>1776</v>
      </c>
      <c r="E312" s="6" t="s">
        <v>1605</v>
      </c>
      <c r="F312" s="6" t="s">
        <v>1606</v>
      </c>
      <c r="G312" s="6" t="s">
        <v>1607</v>
      </c>
      <c r="H312" s="6"/>
      <c r="I312" s="6" t="n">
        <v>1</v>
      </c>
    </row>
    <row r="313" customFormat="false" ht="23.25" hidden="false" customHeight="true" outlineLevel="0" collapsed="false">
      <c r="A313" s="6" t="s">
        <v>1603</v>
      </c>
      <c r="B313" s="6" t="s">
        <v>1441</v>
      </c>
      <c r="C313" s="6" t="s">
        <v>1442</v>
      </c>
      <c r="D313" s="6" t="s">
        <v>1776</v>
      </c>
      <c r="E313" s="6" t="s">
        <v>1605</v>
      </c>
      <c r="F313" s="6" t="s">
        <v>1606</v>
      </c>
      <c r="G313" s="6" t="s">
        <v>1607</v>
      </c>
      <c r="H313" s="6"/>
      <c r="I313" s="6" t="n">
        <v>0</v>
      </c>
    </row>
    <row r="314" customFormat="false" ht="23.25" hidden="false" customHeight="true" outlineLevel="0" collapsed="false">
      <c r="A314" s="6" t="s">
        <v>1603</v>
      </c>
      <c r="B314" s="6" t="s">
        <v>1441</v>
      </c>
      <c r="C314" s="6" t="s">
        <v>1777</v>
      </c>
      <c r="D314" s="6" t="s">
        <v>1776</v>
      </c>
      <c r="E314" s="6" t="s">
        <v>1605</v>
      </c>
      <c r="F314" s="6" t="s">
        <v>1606</v>
      </c>
      <c r="G314" s="6" t="s">
        <v>1607</v>
      </c>
      <c r="H314" s="6"/>
      <c r="I314" s="6" t="n">
        <v>0</v>
      </c>
    </row>
    <row r="315" customFormat="false" ht="23.25" hidden="false" customHeight="true" outlineLevel="0" collapsed="false">
      <c r="A315" s="6" t="s">
        <v>1603</v>
      </c>
      <c r="B315" s="6" t="s">
        <v>1441</v>
      </c>
      <c r="C315" s="6" t="s">
        <v>1778</v>
      </c>
      <c r="D315" s="6" t="s">
        <v>1776</v>
      </c>
      <c r="E315" s="6" t="s">
        <v>1605</v>
      </c>
      <c r="F315" s="6" t="s">
        <v>1606</v>
      </c>
      <c r="G315" s="6" t="s">
        <v>1607</v>
      </c>
      <c r="H315" s="6"/>
      <c r="I315" s="6" t="n">
        <v>0</v>
      </c>
    </row>
    <row r="316" customFormat="false" ht="23.25" hidden="false" customHeight="true" outlineLevel="0" collapsed="false">
      <c r="A316" s="6" t="s">
        <v>1603</v>
      </c>
      <c r="B316" s="6" t="s">
        <v>1441</v>
      </c>
      <c r="C316" s="6" t="s">
        <v>1779</v>
      </c>
      <c r="D316" s="6" t="s">
        <v>1776</v>
      </c>
      <c r="E316" s="6" t="s">
        <v>1605</v>
      </c>
      <c r="F316" s="6" t="s">
        <v>1606</v>
      </c>
      <c r="G316" s="6" t="s">
        <v>1607</v>
      </c>
      <c r="H316" s="6"/>
      <c r="I316" s="6" t="n">
        <v>0</v>
      </c>
    </row>
    <row r="317" customFormat="false" ht="23.25" hidden="false" customHeight="true" outlineLevel="0" collapsed="false">
      <c r="A317" s="6" t="s">
        <v>1603</v>
      </c>
      <c r="B317" s="6" t="s">
        <v>1441</v>
      </c>
      <c r="C317" s="6" t="s">
        <v>1780</v>
      </c>
      <c r="D317" s="6" t="s">
        <v>1776</v>
      </c>
      <c r="E317" s="6" t="s">
        <v>1605</v>
      </c>
      <c r="F317" s="6" t="s">
        <v>1606</v>
      </c>
      <c r="G317" s="6" t="s">
        <v>1607</v>
      </c>
      <c r="H317" s="6"/>
      <c r="I317" s="6" t="n">
        <v>0</v>
      </c>
    </row>
    <row r="318" customFormat="false" ht="23.25" hidden="false" customHeight="true" outlineLevel="0" collapsed="false">
      <c r="A318" s="6" t="s">
        <v>1603</v>
      </c>
      <c r="B318" s="6" t="s">
        <v>1443</v>
      </c>
      <c r="C318" s="6" t="s">
        <v>1444</v>
      </c>
      <c r="D318" s="6" t="s">
        <v>1776</v>
      </c>
      <c r="E318" s="6" t="s">
        <v>1605</v>
      </c>
      <c r="F318" s="6" t="s">
        <v>1606</v>
      </c>
      <c r="G318" s="6" t="s">
        <v>1607</v>
      </c>
      <c r="H318" s="6"/>
      <c r="I318" s="6" t="n">
        <v>5</v>
      </c>
    </row>
    <row r="319" customFormat="false" ht="23.25" hidden="false" customHeight="true" outlineLevel="0" collapsed="false">
      <c r="A319" s="6" t="s">
        <v>1603</v>
      </c>
      <c r="B319" s="6" t="s">
        <v>1446</v>
      </c>
      <c r="C319" s="6" t="s">
        <v>1447</v>
      </c>
      <c r="D319" s="6" t="s">
        <v>1776</v>
      </c>
      <c r="E319" s="6" t="s">
        <v>1605</v>
      </c>
      <c r="F319" s="6" t="s">
        <v>1606</v>
      </c>
      <c r="G319" s="6" t="s">
        <v>1607</v>
      </c>
      <c r="H319" s="6"/>
      <c r="I319" s="6" t="n">
        <v>2</v>
      </c>
    </row>
    <row r="320" customFormat="false" ht="23.25" hidden="false" customHeight="true" outlineLevel="0" collapsed="false">
      <c r="A320" s="6" t="s">
        <v>1603</v>
      </c>
      <c r="B320" s="6" t="s">
        <v>1448</v>
      </c>
      <c r="C320" s="6" t="s">
        <v>1449</v>
      </c>
      <c r="D320" s="6" t="s">
        <v>1776</v>
      </c>
      <c r="E320" s="6" t="s">
        <v>1605</v>
      </c>
      <c r="F320" s="6" t="s">
        <v>1606</v>
      </c>
      <c r="G320" s="6" t="s">
        <v>1607</v>
      </c>
      <c r="H320" s="6"/>
      <c r="I320" s="6" t="n">
        <v>1</v>
      </c>
    </row>
    <row r="321" customFormat="false" ht="23.25" hidden="false" customHeight="true" outlineLevel="0" collapsed="false">
      <c r="A321" s="6" t="s">
        <v>1603</v>
      </c>
      <c r="B321" s="6" t="s">
        <v>1450</v>
      </c>
      <c r="C321" s="6" t="s">
        <v>1451</v>
      </c>
      <c r="D321" s="6" t="s">
        <v>1776</v>
      </c>
      <c r="E321" s="6" t="s">
        <v>1605</v>
      </c>
      <c r="F321" s="6" t="s">
        <v>1606</v>
      </c>
      <c r="G321" s="6" t="s">
        <v>1607</v>
      </c>
      <c r="H321" s="6"/>
      <c r="I321" s="6" t="n">
        <v>1</v>
      </c>
    </row>
    <row r="322" customFormat="false" ht="23.25" hidden="false" customHeight="true" outlineLevel="0" collapsed="false">
      <c r="A322" s="6" t="s">
        <v>1603</v>
      </c>
      <c r="B322" s="6" t="s">
        <v>1452</v>
      </c>
      <c r="C322" s="6" t="s">
        <v>1453</v>
      </c>
      <c r="D322" s="6" t="s">
        <v>1776</v>
      </c>
      <c r="E322" s="6" t="s">
        <v>1605</v>
      </c>
      <c r="F322" s="6" t="s">
        <v>1606</v>
      </c>
      <c r="G322" s="6" t="s">
        <v>1607</v>
      </c>
      <c r="H322" s="6"/>
      <c r="I322" s="6" t="n">
        <v>1</v>
      </c>
    </row>
    <row r="323" customFormat="false" ht="23.25" hidden="false" customHeight="true" outlineLevel="0" collapsed="false">
      <c r="A323" s="6" t="s">
        <v>1603</v>
      </c>
      <c r="B323" s="6" t="s">
        <v>1454</v>
      </c>
      <c r="C323" s="6" t="s">
        <v>1455</v>
      </c>
      <c r="D323" s="6" t="s">
        <v>1776</v>
      </c>
      <c r="E323" s="6" t="s">
        <v>1605</v>
      </c>
      <c r="F323" s="6" t="s">
        <v>1606</v>
      </c>
      <c r="G323" s="6" t="s">
        <v>1607</v>
      </c>
      <c r="H323" s="6"/>
      <c r="I323" s="6" t="n">
        <v>1</v>
      </c>
    </row>
    <row r="324" customFormat="false" ht="23.25" hidden="false" customHeight="true" outlineLevel="0" collapsed="false">
      <c r="A324" s="6" t="s">
        <v>1603</v>
      </c>
      <c r="B324" s="6" t="s">
        <v>1456</v>
      </c>
      <c r="C324" s="6" t="s">
        <v>1457</v>
      </c>
      <c r="D324" s="6" t="s">
        <v>1776</v>
      </c>
      <c r="E324" s="6" t="s">
        <v>1605</v>
      </c>
      <c r="F324" s="6" t="s">
        <v>1606</v>
      </c>
      <c r="G324" s="6" t="s">
        <v>1607</v>
      </c>
      <c r="H324" s="6"/>
      <c r="I324" s="6" t="n">
        <v>0</v>
      </c>
    </row>
    <row r="325" customFormat="false" ht="23.25" hidden="false" customHeight="true" outlineLevel="0" collapsed="false">
      <c r="A325" s="6" t="s">
        <v>1603</v>
      </c>
      <c r="B325" s="6" t="s">
        <v>1458</v>
      </c>
      <c r="C325" s="6" t="s">
        <v>1459</v>
      </c>
      <c r="D325" s="6" t="s">
        <v>1776</v>
      </c>
      <c r="E325" s="6" t="s">
        <v>1605</v>
      </c>
      <c r="F325" s="6" t="s">
        <v>1606</v>
      </c>
      <c r="G325" s="6" t="s">
        <v>1607</v>
      </c>
      <c r="H325" s="6"/>
      <c r="I325" s="6" t="n">
        <v>1</v>
      </c>
    </row>
    <row r="326" customFormat="false" ht="23.25" hidden="false" customHeight="true" outlineLevel="0" collapsed="false">
      <c r="A326" s="6" t="s">
        <v>1603</v>
      </c>
      <c r="B326" s="6" t="s">
        <v>1460</v>
      </c>
      <c r="C326" s="6" t="s">
        <v>1461</v>
      </c>
      <c r="D326" s="6" t="s">
        <v>1776</v>
      </c>
      <c r="E326" s="6" t="s">
        <v>1605</v>
      </c>
      <c r="F326" s="6" t="s">
        <v>1606</v>
      </c>
      <c r="G326" s="6" t="s">
        <v>1607</v>
      </c>
      <c r="H326" s="6"/>
      <c r="I326" s="6" t="n">
        <v>1</v>
      </c>
    </row>
    <row r="327" customFormat="false" ht="23.25" hidden="false" customHeight="true" outlineLevel="0" collapsed="false">
      <c r="A327" s="6" t="s">
        <v>1603</v>
      </c>
      <c r="B327" s="6" t="s">
        <v>1462</v>
      </c>
      <c r="C327" s="6" t="s">
        <v>1463</v>
      </c>
      <c r="D327" s="6" t="s">
        <v>1776</v>
      </c>
      <c r="E327" s="6" t="s">
        <v>1605</v>
      </c>
      <c r="F327" s="6" t="s">
        <v>1606</v>
      </c>
      <c r="G327" s="6" t="s">
        <v>1607</v>
      </c>
      <c r="H327" s="6"/>
      <c r="I327" s="6" t="n">
        <v>0</v>
      </c>
    </row>
    <row r="328" customFormat="false" ht="23.25" hidden="false" customHeight="true" outlineLevel="0" collapsed="false">
      <c r="A328" s="6" t="s">
        <v>1603</v>
      </c>
      <c r="B328" s="6" t="s">
        <v>1464</v>
      </c>
      <c r="C328" s="6" t="s">
        <v>1465</v>
      </c>
      <c r="D328" s="6" t="s">
        <v>1776</v>
      </c>
      <c r="E328" s="6" t="s">
        <v>1605</v>
      </c>
      <c r="F328" s="6" t="s">
        <v>1606</v>
      </c>
      <c r="G328" s="6" t="s">
        <v>1607</v>
      </c>
      <c r="H328" s="6"/>
      <c r="I328" s="6" t="n">
        <v>0</v>
      </c>
    </row>
    <row r="329" customFormat="false" ht="23.25" hidden="false" customHeight="true" outlineLevel="0" collapsed="false">
      <c r="A329" s="6" t="s">
        <v>1603</v>
      </c>
      <c r="B329" s="6" t="s">
        <v>1466</v>
      </c>
      <c r="C329" s="6" t="s">
        <v>1467</v>
      </c>
      <c r="D329" s="6" t="s">
        <v>1776</v>
      </c>
      <c r="E329" s="6" t="s">
        <v>1605</v>
      </c>
      <c r="F329" s="6" t="s">
        <v>1606</v>
      </c>
      <c r="G329" s="6" t="s">
        <v>1607</v>
      </c>
      <c r="H329" s="6"/>
      <c r="I329" s="6" t="n">
        <v>0</v>
      </c>
    </row>
    <row r="330" customFormat="false" ht="23.25" hidden="false" customHeight="true" outlineLevel="0" collapsed="false">
      <c r="A330" s="6" t="s">
        <v>1603</v>
      </c>
      <c r="B330" s="6" t="s">
        <v>1466</v>
      </c>
      <c r="C330" s="6" t="s">
        <v>1781</v>
      </c>
      <c r="D330" s="6" t="s">
        <v>1776</v>
      </c>
      <c r="E330" s="6" t="s">
        <v>1605</v>
      </c>
      <c r="F330" s="6" t="s">
        <v>1606</v>
      </c>
      <c r="G330" s="6" t="s">
        <v>1607</v>
      </c>
      <c r="H330" s="6"/>
      <c r="I330" s="6" t="n">
        <v>0</v>
      </c>
    </row>
    <row r="331" customFormat="false" ht="23.25" hidden="false" customHeight="true" outlineLevel="0" collapsed="false">
      <c r="A331" s="6" t="s">
        <v>1603</v>
      </c>
      <c r="B331" s="6" t="s">
        <v>1466</v>
      </c>
      <c r="C331" s="6" t="s">
        <v>1782</v>
      </c>
      <c r="D331" s="6" t="s">
        <v>1776</v>
      </c>
      <c r="E331" s="6" t="s">
        <v>1605</v>
      </c>
      <c r="F331" s="6" t="s">
        <v>1606</v>
      </c>
      <c r="G331" s="6" t="s">
        <v>1607</v>
      </c>
      <c r="H331" s="6"/>
      <c r="I331" s="6" t="n">
        <v>0</v>
      </c>
    </row>
    <row r="332" customFormat="false" ht="23.25" hidden="false" customHeight="true" outlineLevel="0" collapsed="false">
      <c r="A332" s="6" t="s">
        <v>1603</v>
      </c>
      <c r="B332" s="6" t="s">
        <v>1468</v>
      </c>
      <c r="C332" s="6" t="s">
        <v>1469</v>
      </c>
      <c r="D332" s="6" t="s">
        <v>1776</v>
      </c>
      <c r="E332" s="6" t="s">
        <v>1605</v>
      </c>
      <c r="F332" s="6" t="s">
        <v>1606</v>
      </c>
      <c r="G332" s="6" t="s">
        <v>1607</v>
      </c>
      <c r="H332" s="6"/>
      <c r="I332" s="6" t="n">
        <v>0</v>
      </c>
    </row>
    <row r="333" customFormat="false" ht="23.25" hidden="false" customHeight="true" outlineLevel="0" collapsed="false">
      <c r="A333" s="6" t="s">
        <v>1603</v>
      </c>
      <c r="B333" s="6" t="s">
        <v>1422</v>
      </c>
      <c r="C333" s="6" t="s">
        <v>1423</v>
      </c>
      <c r="D333" s="6" t="s">
        <v>1776</v>
      </c>
      <c r="E333" s="6" t="s">
        <v>1605</v>
      </c>
      <c r="F333" s="6" t="s">
        <v>1606</v>
      </c>
      <c r="G333" s="6" t="s">
        <v>1607</v>
      </c>
      <c r="H333" s="6"/>
      <c r="I333" s="6" t="n">
        <v>3</v>
      </c>
    </row>
    <row r="334" customFormat="false" ht="23.25" hidden="false" customHeight="true" outlineLevel="0" collapsed="false">
      <c r="A334" s="6" t="s">
        <v>1603</v>
      </c>
      <c r="B334" s="6" t="s">
        <v>1426</v>
      </c>
      <c r="C334" s="6" t="s">
        <v>1427</v>
      </c>
      <c r="D334" s="6" t="s">
        <v>1776</v>
      </c>
      <c r="E334" s="6" t="s">
        <v>1605</v>
      </c>
      <c r="F334" s="6" t="s">
        <v>1606</v>
      </c>
      <c r="G334" s="6" t="s">
        <v>1607</v>
      </c>
      <c r="H334" s="6"/>
      <c r="I334" s="6" t="n">
        <v>1</v>
      </c>
    </row>
    <row r="335" customFormat="false" ht="23.25" hidden="false" customHeight="true" outlineLevel="0" collapsed="false">
      <c r="A335" s="6" t="s">
        <v>1603</v>
      </c>
      <c r="B335" s="6" t="s">
        <v>1426</v>
      </c>
      <c r="C335" s="6" t="s">
        <v>1783</v>
      </c>
      <c r="D335" s="6" t="s">
        <v>1776</v>
      </c>
      <c r="E335" s="6" t="s">
        <v>1605</v>
      </c>
      <c r="F335" s="6" t="s">
        <v>1606</v>
      </c>
      <c r="G335" s="6" t="s">
        <v>1607</v>
      </c>
      <c r="H335" s="6"/>
      <c r="I335" s="6" t="n">
        <v>0</v>
      </c>
    </row>
    <row r="336" customFormat="false" ht="23.25" hidden="false" customHeight="true" outlineLevel="0" collapsed="false">
      <c r="A336" s="6" t="s">
        <v>1603</v>
      </c>
      <c r="B336" s="6" t="s">
        <v>1426</v>
      </c>
      <c r="C336" s="6" t="s">
        <v>1784</v>
      </c>
      <c r="D336" s="6" t="s">
        <v>1776</v>
      </c>
      <c r="E336" s="6" t="s">
        <v>1605</v>
      </c>
      <c r="F336" s="6" t="s">
        <v>1606</v>
      </c>
      <c r="G336" s="6" t="s">
        <v>1607</v>
      </c>
      <c r="H336" s="6"/>
      <c r="I336" s="6" t="n">
        <v>1</v>
      </c>
    </row>
    <row r="337" customFormat="false" ht="23.25" hidden="false" customHeight="true" outlineLevel="0" collapsed="false">
      <c r="A337" s="6" t="s">
        <v>1603</v>
      </c>
      <c r="B337" s="6" t="s">
        <v>1426</v>
      </c>
      <c r="C337" s="6" t="s">
        <v>1785</v>
      </c>
      <c r="D337" s="6" t="s">
        <v>1776</v>
      </c>
      <c r="E337" s="6" t="s">
        <v>1605</v>
      </c>
      <c r="F337" s="6" t="s">
        <v>1606</v>
      </c>
      <c r="G337" s="6" t="s">
        <v>1607</v>
      </c>
      <c r="H337" s="6"/>
      <c r="I337" s="6" t="n">
        <v>0</v>
      </c>
    </row>
    <row r="338" customFormat="false" ht="23.25" hidden="false" customHeight="true" outlineLevel="0" collapsed="false">
      <c r="A338" s="6" t="s">
        <v>1603</v>
      </c>
      <c r="B338" s="6" t="s">
        <v>1426</v>
      </c>
      <c r="C338" s="6" t="s">
        <v>1786</v>
      </c>
      <c r="D338" s="6" t="s">
        <v>1776</v>
      </c>
      <c r="E338" s="6" t="s">
        <v>1605</v>
      </c>
      <c r="F338" s="6" t="s">
        <v>1606</v>
      </c>
      <c r="G338" s="6" t="s">
        <v>1607</v>
      </c>
      <c r="H338" s="6"/>
      <c r="I338" s="6" t="n">
        <v>0</v>
      </c>
    </row>
    <row r="339" customFormat="false" ht="23.25" hidden="false" customHeight="true" outlineLevel="0" collapsed="false">
      <c r="A339" s="6" t="s">
        <v>1603</v>
      </c>
      <c r="B339" s="6" t="s">
        <v>1426</v>
      </c>
      <c r="C339" s="6" t="s">
        <v>1787</v>
      </c>
      <c r="D339" s="6" t="s">
        <v>1776</v>
      </c>
      <c r="E339" s="6" t="s">
        <v>1605</v>
      </c>
      <c r="F339" s="6" t="s">
        <v>1606</v>
      </c>
      <c r="G339" s="6" t="s">
        <v>1607</v>
      </c>
      <c r="H339" s="6"/>
      <c r="I339" s="6" t="n">
        <v>0</v>
      </c>
    </row>
    <row r="340" customFormat="false" ht="23.25" hidden="false" customHeight="true" outlineLevel="0" collapsed="false">
      <c r="A340" s="6" t="s">
        <v>1603</v>
      </c>
      <c r="B340" s="6" t="s">
        <v>1428</v>
      </c>
      <c r="C340" s="6" t="s">
        <v>1429</v>
      </c>
      <c r="D340" s="6" t="s">
        <v>1776</v>
      </c>
      <c r="E340" s="6" t="s">
        <v>1605</v>
      </c>
      <c r="F340" s="6" t="s">
        <v>1606</v>
      </c>
      <c r="G340" s="6" t="s">
        <v>1607</v>
      </c>
      <c r="H340" s="6"/>
      <c r="I340" s="6" t="n">
        <v>1</v>
      </c>
    </row>
    <row r="341" customFormat="false" ht="23.25" hidden="false" customHeight="true" outlineLevel="0" collapsed="false">
      <c r="A341" s="6" t="s">
        <v>1603</v>
      </c>
      <c r="B341" s="6" t="s">
        <v>1430</v>
      </c>
      <c r="C341" s="6" t="s">
        <v>1431</v>
      </c>
      <c r="D341" s="6" t="s">
        <v>1776</v>
      </c>
      <c r="E341" s="6" t="s">
        <v>1605</v>
      </c>
      <c r="F341" s="6" t="s">
        <v>1606</v>
      </c>
      <c r="G341" s="6" t="s">
        <v>1607</v>
      </c>
      <c r="H341" s="6"/>
      <c r="I341" s="6" t="n">
        <v>1</v>
      </c>
    </row>
    <row r="342" customFormat="false" ht="23.25" hidden="false" customHeight="true" outlineLevel="0" collapsed="false">
      <c r="A342" s="6" t="s">
        <v>1603</v>
      </c>
      <c r="B342" s="6" t="s">
        <v>1470</v>
      </c>
      <c r="C342" s="6" t="s">
        <v>1471</v>
      </c>
      <c r="D342" s="6" t="s">
        <v>1788</v>
      </c>
      <c r="E342" s="6" t="s">
        <v>1605</v>
      </c>
      <c r="F342" s="6" t="s">
        <v>1606</v>
      </c>
      <c r="G342" s="6" t="s">
        <v>1607</v>
      </c>
      <c r="H342" s="6"/>
      <c r="I342" s="6" t="n">
        <v>2</v>
      </c>
    </row>
    <row r="343" customFormat="false" ht="23.25" hidden="false" customHeight="true" outlineLevel="0" collapsed="false">
      <c r="A343" s="6" t="s">
        <v>1603</v>
      </c>
      <c r="B343" s="6" t="s">
        <v>1470</v>
      </c>
      <c r="C343" s="6" t="s">
        <v>1789</v>
      </c>
      <c r="D343" s="6" t="s">
        <v>1788</v>
      </c>
      <c r="E343" s="6" t="s">
        <v>1605</v>
      </c>
      <c r="F343" s="6" t="s">
        <v>1606</v>
      </c>
      <c r="G343" s="6" t="s">
        <v>1607</v>
      </c>
      <c r="H343" s="6"/>
      <c r="I343" s="6" t="n">
        <v>0</v>
      </c>
    </row>
    <row r="344" customFormat="false" ht="23.25" hidden="false" customHeight="true" outlineLevel="0" collapsed="false">
      <c r="A344" s="6" t="s">
        <v>1603</v>
      </c>
      <c r="B344" s="6" t="s">
        <v>1470</v>
      </c>
      <c r="C344" s="6" t="s">
        <v>1790</v>
      </c>
      <c r="D344" s="6" t="s">
        <v>1788</v>
      </c>
      <c r="E344" s="6" t="s">
        <v>1605</v>
      </c>
      <c r="F344" s="6" t="s">
        <v>1606</v>
      </c>
      <c r="G344" s="6" t="s">
        <v>1607</v>
      </c>
      <c r="H344" s="6"/>
      <c r="I344" s="6" t="n">
        <v>0</v>
      </c>
    </row>
    <row r="345" customFormat="false" ht="23.25" hidden="false" customHeight="true" outlineLevel="0" collapsed="false">
      <c r="A345" s="6" t="s">
        <v>1603</v>
      </c>
      <c r="B345" s="6" t="s">
        <v>1470</v>
      </c>
      <c r="C345" s="6" t="s">
        <v>1791</v>
      </c>
      <c r="D345" s="6" t="s">
        <v>1788</v>
      </c>
      <c r="E345" s="6" t="s">
        <v>1605</v>
      </c>
      <c r="F345" s="6" t="s">
        <v>1606</v>
      </c>
      <c r="G345" s="6" t="s">
        <v>1607</v>
      </c>
      <c r="H345" s="6"/>
      <c r="I345" s="6" t="n">
        <v>0</v>
      </c>
    </row>
    <row r="346" customFormat="false" ht="23.25" hidden="false" customHeight="true" outlineLevel="0" collapsed="false">
      <c r="A346" s="6" t="s">
        <v>1603</v>
      </c>
      <c r="B346" s="6" t="s">
        <v>1470</v>
      </c>
      <c r="C346" s="6" t="s">
        <v>1792</v>
      </c>
      <c r="D346" s="6" t="s">
        <v>1788</v>
      </c>
      <c r="E346" s="6" t="s">
        <v>1605</v>
      </c>
      <c r="F346" s="6" t="s">
        <v>1606</v>
      </c>
      <c r="G346" s="6" t="s">
        <v>1607</v>
      </c>
      <c r="H346" s="6"/>
      <c r="I346" s="6" t="n">
        <v>0</v>
      </c>
    </row>
    <row r="347" customFormat="false" ht="23.25" hidden="false" customHeight="true" outlineLevel="0" collapsed="false">
      <c r="A347" s="6" t="s">
        <v>1603</v>
      </c>
      <c r="B347" s="6" t="s">
        <v>1470</v>
      </c>
      <c r="C347" s="6" t="s">
        <v>1793</v>
      </c>
      <c r="D347" s="6" t="s">
        <v>1788</v>
      </c>
      <c r="E347" s="6" t="s">
        <v>1605</v>
      </c>
      <c r="F347" s="6" t="s">
        <v>1606</v>
      </c>
      <c r="G347" s="6" t="s">
        <v>1607</v>
      </c>
      <c r="H347" s="6"/>
      <c r="I347" s="6" t="n">
        <v>0</v>
      </c>
    </row>
    <row r="348" customFormat="false" ht="23.25" hidden="false" customHeight="true" outlineLevel="0" collapsed="false">
      <c r="A348" s="6" t="s">
        <v>1603</v>
      </c>
      <c r="B348" s="6" t="s">
        <v>1470</v>
      </c>
      <c r="C348" s="6" t="s">
        <v>1794</v>
      </c>
      <c r="D348" s="6" t="s">
        <v>1788</v>
      </c>
      <c r="E348" s="6" t="s">
        <v>1605</v>
      </c>
      <c r="F348" s="6" t="s">
        <v>1606</v>
      </c>
      <c r="G348" s="6" t="s">
        <v>1607</v>
      </c>
      <c r="H348" s="6"/>
      <c r="I348" s="6" t="n">
        <v>0</v>
      </c>
    </row>
    <row r="349" customFormat="false" ht="23.25" hidden="false" customHeight="true" outlineLevel="0" collapsed="false">
      <c r="A349" s="6" t="s">
        <v>1603</v>
      </c>
      <c r="B349" s="6" t="s">
        <v>1470</v>
      </c>
      <c r="C349" s="6" t="s">
        <v>1795</v>
      </c>
      <c r="D349" s="6" t="s">
        <v>1788</v>
      </c>
      <c r="E349" s="6" t="s">
        <v>1605</v>
      </c>
      <c r="F349" s="6" t="s">
        <v>1606</v>
      </c>
      <c r="G349" s="6" t="s">
        <v>1607</v>
      </c>
      <c r="H349" s="6"/>
      <c r="I349" s="6" t="n">
        <v>0</v>
      </c>
    </row>
    <row r="350" customFormat="false" ht="23.25" hidden="false" customHeight="true" outlineLevel="0" collapsed="false">
      <c r="A350" s="6" t="s">
        <v>1603</v>
      </c>
      <c r="B350" s="6" t="s">
        <v>1470</v>
      </c>
      <c r="C350" s="6" t="s">
        <v>1796</v>
      </c>
      <c r="D350" s="6" t="s">
        <v>1788</v>
      </c>
      <c r="E350" s="6" t="s">
        <v>1605</v>
      </c>
      <c r="F350" s="6" t="s">
        <v>1606</v>
      </c>
      <c r="G350" s="6" t="s">
        <v>1607</v>
      </c>
      <c r="H350" s="6"/>
      <c r="I350" s="6" t="n">
        <v>1</v>
      </c>
    </row>
    <row r="351" customFormat="false" ht="23.25" hidden="false" customHeight="true" outlineLevel="0" collapsed="false">
      <c r="A351" s="6" t="s">
        <v>1603</v>
      </c>
      <c r="B351" s="6" t="s">
        <v>1470</v>
      </c>
      <c r="C351" s="6" t="s">
        <v>1797</v>
      </c>
      <c r="D351" s="6" t="s">
        <v>1788</v>
      </c>
      <c r="E351" s="6" t="s">
        <v>1605</v>
      </c>
      <c r="F351" s="6" t="s">
        <v>1606</v>
      </c>
      <c r="G351" s="6" t="s">
        <v>1607</v>
      </c>
      <c r="H351" s="6"/>
      <c r="I351" s="6" t="n">
        <v>0</v>
      </c>
    </row>
    <row r="352" customFormat="false" ht="23.25" hidden="false" customHeight="true" outlineLevel="0" collapsed="false">
      <c r="A352" s="6" t="s">
        <v>1603</v>
      </c>
      <c r="B352" s="6" t="s">
        <v>1470</v>
      </c>
      <c r="C352" s="6" t="s">
        <v>1798</v>
      </c>
      <c r="D352" s="6" t="s">
        <v>1788</v>
      </c>
      <c r="E352" s="6" t="s">
        <v>1605</v>
      </c>
      <c r="F352" s="6" t="s">
        <v>1606</v>
      </c>
      <c r="G352" s="6" t="s">
        <v>1607</v>
      </c>
      <c r="H352" s="6"/>
      <c r="I352" s="6" t="n">
        <v>0</v>
      </c>
    </row>
    <row r="353" customFormat="false" ht="23.25" hidden="false" customHeight="true" outlineLevel="0" collapsed="false">
      <c r="A353" s="6" t="s">
        <v>1603</v>
      </c>
      <c r="B353" s="6" t="s">
        <v>1470</v>
      </c>
      <c r="C353" s="6" t="s">
        <v>1799</v>
      </c>
      <c r="D353" s="6" t="s">
        <v>1788</v>
      </c>
      <c r="E353" s="6" t="s">
        <v>1605</v>
      </c>
      <c r="F353" s="6" t="s">
        <v>1606</v>
      </c>
      <c r="G353" s="6" t="s">
        <v>1607</v>
      </c>
      <c r="H353" s="6"/>
      <c r="I353" s="6" t="n">
        <v>0</v>
      </c>
    </row>
    <row r="354" customFormat="false" ht="23.25" hidden="false" customHeight="true" outlineLevel="0" collapsed="false">
      <c r="A354" s="6" t="s">
        <v>1603</v>
      </c>
      <c r="B354" s="6" t="s">
        <v>1470</v>
      </c>
      <c r="C354" s="6" t="s">
        <v>1800</v>
      </c>
      <c r="D354" s="6" t="s">
        <v>1788</v>
      </c>
      <c r="E354" s="6" t="s">
        <v>1605</v>
      </c>
      <c r="F354" s="6" t="s">
        <v>1606</v>
      </c>
      <c r="G354" s="6" t="s">
        <v>1607</v>
      </c>
      <c r="H354" s="6"/>
      <c r="I354" s="6" t="n">
        <v>0</v>
      </c>
    </row>
    <row r="355" customFormat="false" ht="23.25" hidden="false" customHeight="true" outlineLevel="0" collapsed="false">
      <c r="A355" s="6" t="s">
        <v>1603</v>
      </c>
      <c r="B355" s="6" t="s">
        <v>1470</v>
      </c>
      <c r="C355" s="6" t="s">
        <v>1801</v>
      </c>
      <c r="D355" s="6" t="s">
        <v>1788</v>
      </c>
      <c r="E355" s="6" t="s">
        <v>1605</v>
      </c>
      <c r="F355" s="6" t="s">
        <v>1606</v>
      </c>
      <c r="G355" s="6" t="s">
        <v>1607</v>
      </c>
      <c r="H355" s="6"/>
      <c r="I355" s="6" t="n">
        <v>0</v>
      </c>
    </row>
    <row r="356" customFormat="false" ht="23.25" hidden="false" customHeight="true" outlineLevel="0" collapsed="false">
      <c r="A356" s="6" t="s">
        <v>1603</v>
      </c>
      <c r="B356" s="6" t="s">
        <v>1470</v>
      </c>
      <c r="C356" s="6" t="s">
        <v>1802</v>
      </c>
      <c r="D356" s="6" t="s">
        <v>1788</v>
      </c>
      <c r="E356" s="6" t="s">
        <v>1605</v>
      </c>
      <c r="F356" s="6" t="s">
        <v>1606</v>
      </c>
      <c r="G356" s="6" t="s">
        <v>1607</v>
      </c>
      <c r="H356" s="6"/>
      <c r="I356" s="6" t="n">
        <v>0</v>
      </c>
    </row>
    <row r="357" customFormat="false" ht="23.25" hidden="false" customHeight="true" outlineLevel="0" collapsed="false">
      <c r="A357" s="6" t="s">
        <v>1603</v>
      </c>
      <c r="B357" s="6" t="s">
        <v>1470</v>
      </c>
      <c r="C357" s="6" t="s">
        <v>1803</v>
      </c>
      <c r="D357" s="6" t="s">
        <v>1788</v>
      </c>
      <c r="E357" s="6" t="s">
        <v>1605</v>
      </c>
      <c r="F357" s="6" t="s">
        <v>1606</v>
      </c>
      <c r="G357" s="6" t="s">
        <v>1607</v>
      </c>
      <c r="H357" s="6"/>
      <c r="I357" s="6" t="n">
        <v>0</v>
      </c>
    </row>
    <row r="358" customFormat="false" ht="23.25" hidden="false" customHeight="true" outlineLevel="0" collapsed="false">
      <c r="A358" s="6" t="s">
        <v>1603</v>
      </c>
      <c r="B358" s="6" t="s">
        <v>1470</v>
      </c>
      <c r="C358" s="6" t="s">
        <v>1804</v>
      </c>
      <c r="D358" s="6" t="s">
        <v>1788</v>
      </c>
      <c r="E358" s="6" t="s">
        <v>1605</v>
      </c>
      <c r="F358" s="6" t="s">
        <v>1606</v>
      </c>
      <c r="G358" s="6" t="s">
        <v>1607</v>
      </c>
      <c r="H358" s="6"/>
      <c r="I358" s="6" t="n">
        <v>0</v>
      </c>
    </row>
    <row r="359" customFormat="false" ht="23.25" hidden="false" customHeight="true" outlineLevel="0" collapsed="false">
      <c r="A359" s="6" t="s">
        <v>1603</v>
      </c>
      <c r="B359" s="6" t="s">
        <v>1470</v>
      </c>
      <c r="C359" s="6" t="s">
        <v>1805</v>
      </c>
      <c r="D359" s="6" t="s">
        <v>1788</v>
      </c>
      <c r="E359" s="6" t="s">
        <v>1605</v>
      </c>
      <c r="F359" s="6" t="s">
        <v>1606</v>
      </c>
      <c r="G359" s="6" t="s">
        <v>1607</v>
      </c>
      <c r="H359" s="6"/>
      <c r="I359" s="6" t="n">
        <v>0</v>
      </c>
    </row>
    <row r="360" customFormat="false" ht="23.25" hidden="false" customHeight="true" outlineLevel="0" collapsed="false">
      <c r="A360" s="6" t="s">
        <v>1603</v>
      </c>
      <c r="B360" s="6" t="s">
        <v>1470</v>
      </c>
      <c r="C360" s="6" t="s">
        <v>1806</v>
      </c>
      <c r="D360" s="6" t="s">
        <v>1788</v>
      </c>
      <c r="E360" s="6" t="s">
        <v>1605</v>
      </c>
      <c r="F360" s="6" t="s">
        <v>1606</v>
      </c>
      <c r="G360" s="6" t="s">
        <v>1607</v>
      </c>
      <c r="H360" s="6"/>
      <c r="I360" s="6" t="n">
        <v>0</v>
      </c>
    </row>
    <row r="361" customFormat="false" ht="23.25" hidden="false" customHeight="true" outlineLevel="0" collapsed="false">
      <c r="A361" s="6" t="s">
        <v>1603</v>
      </c>
      <c r="B361" s="6" t="s">
        <v>1470</v>
      </c>
      <c r="C361" s="6" t="s">
        <v>1807</v>
      </c>
      <c r="D361" s="6" t="s">
        <v>1788</v>
      </c>
      <c r="E361" s="6" t="s">
        <v>1605</v>
      </c>
      <c r="F361" s="6" t="s">
        <v>1606</v>
      </c>
      <c r="G361" s="6" t="s">
        <v>1607</v>
      </c>
      <c r="H361" s="6"/>
      <c r="I361" s="6" t="n">
        <v>0</v>
      </c>
    </row>
    <row r="362" customFormat="false" ht="23.25" hidden="false" customHeight="true" outlineLevel="0" collapsed="false">
      <c r="A362" s="6" t="s">
        <v>1603</v>
      </c>
      <c r="B362" s="6" t="s">
        <v>1470</v>
      </c>
      <c r="C362" s="6" t="s">
        <v>1808</v>
      </c>
      <c r="D362" s="6" t="s">
        <v>1788</v>
      </c>
      <c r="E362" s="6" t="s">
        <v>1605</v>
      </c>
      <c r="F362" s="6" t="s">
        <v>1606</v>
      </c>
      <c r="G362" s="6" t="s">
        <v>1607</v>
      </c>
      <c r="H362" s="6"/>
      <c r="I362" s="6" t="n">
        <v>0</v>
      </c>
    </row>
    <row r="363" customFormat="false" ht="23.25" hidden="false" customHeight="true" outlineLevel="0" collapsed="false">
      <c r="A363" s="6" t="s">
        <v>1603</v>
      </c>
      <c r="B363" s="6" t="s">
        <v>1470</v>
      </c>
      <c r="C363" s="6" t="s">
        <v>1809</v>
      </c>
      <c r="D363" s="6" t="s">
        <v>1788</v>
      </c>
      <c r="E363" s="6" t="s">
        <v>1605</v>
      </c>
      <c r="F363" s="6" t="s">
        <v>1606</v>
      </c>
      <c r="G363" s="6" t="s">
        <v>1607</v>
      </c>
      <c r="H363" s="6"/>
      <c r="I363" s="6" t="n">
        <v>0</v>
      </c>
    </row>
    <row r="364" customFormat="false" ht="23.25" hidden="false" customHeight="true" outlineLevel="0" collapsed="false">
      <c r="A364" s="6" t="s">
        <v>1603</v>
      </c>
      <c r="B364" s="6" t="s">
        <v>1473</v>
      </c>
      <c r="C364" s="6" t="s">
        <v>1474</v>
      </c>
      <c r="D364" s="6" t="s">
        <v>1788</v>
      </c>
      <c r="E364" s="6" t="s">
        <v>1605</v>
      </c>
      <c r="F364" s="6" t="s">
        <v>1606</v>
      </c>
      <c r="G364" s="6" t="s">
        <v>1607</v>
      </c>
      <c r="H364" s="6"/>
      <c r="I364" s="6" t="n">
        <v>20</v>
      </c>
    </row>
    <row r="365" customFormat="false" ht="23.25" hidden="false" customHeight="true" outlineLevel="0" collapsed="false">
      <c r="A365" s="6" t="s">
        <v>1603</v>
      </c>
      <c r="B365" s="6" t="s">
        <v>1473</v>
      </c>
      <c r="C365" s="6" t="s">
        <v>1810</v>
      </c>
      <c r="D365" s="6" t="s">
        <v>1788</v>
      </c>
      <c r="E365" s="6" t="s">
        <v>1605</v>
      </c>
      <c r="F365" s="6" t="s">
        <v>1606</v>
      </c>
      <c r="G365" s="6" t="s">
        <v>1607</v>
      </c>
      <c r="H365" s="6"/>
      <c r="I365" s="6" t="n">
        <v>4</v>
      </c>
    </row>
    <row r="366" customFormat="false" ht="23.25" hidden="false" customHeight="true" outlineLevel="0" collapsed="false">
      <c r="A366" s="6" t="s">
        <v>1603</v>
      </c>
      <c r="B366" s="6" t="s">
        <v>1473</v>
      </c>
      <c r="C366" s="6" t="s">
        <v>1811</v>
      </c>
      <c r="D366" s="6" t="s">
        <v>1788</v>
      </c>
      <c r="E366" s="6" t="s">
        <v>1605</v>
      </c>
      <c r="F366" s="6" t="s">
        <v>1606</v>
      </c>
      <c r="G366" s="6" t="s">
        <v>1607</v>
      </c>
      <c r="H366" s="6"/>
      <c r="I366" s="6" t="n">
        <v>4</v>
      </c>
    </row>
    <row r="367" customFormat="false" ht="23.25" hidden="false" customHeight="true" outlineLevel="0" collapsed="false">
      <c r="A367" s="6" t="s">
        <v>1603</v>
      </c>
      <c r="B367" s="6" t="s">
        <v>1473</v>
      </c>
      <c r="C367" s="6" t="s">
        <v>1812</v>
      </c>
      <c r="D367" s="6" t="s">
        <v>1788</v>
      </c>
      <c r="E367" s="6" t="s">
        <v>1605</v>
      </c>
      <c r="F367" s="6" t="s">
        <v>1606</v>
      </c>
      <c r="G367" s="6" t="s">
        <v>1607</v>
      </c>
      <c r="H367" s="6"/>
      <c r="I367" s="6" t="n">
        <v>3</v>
      </c>
    </row>
    <row r="368" customFormat="false" ht="23.25" hidden="false" customHeight="true" outlineLevel="0" collapsed="false">
      <c r="A368" s="6" t="s">
        <v>1603</v>
      </c>
      <c r="B368" s="6" t="s">
        <v>1473</v>
      </c>
      <c r="C368" s="6" t="s">
        <v>1813</v>
      </c>
      <c r="D368" s="6" t="s">
        <v>1788</v>
      </c>
      <c r="E368" s="6" t="s">
        <v>1605</v>
      </c>
      <c r="F368" s="6" t="s">
        <v>1606</v>
      </c>
      <c r="G368" s="6" t="s">
        <v>1607</v>
      </c>
      <c r="H368" s="6"/>
      <c r="I368" s="6" t="n">
        <v>3</v>
      </c>
    </row>
    <row r="369" customFormat="false" ht="23.25" hidden="false" customHeight="true" outlineLevel="0" collapsed="false">
      <c r="A369" s="6" t="s">
        <v>1603</v>
      </c>
      <c r="B369" s="6" t="s">
        <v>1473</v>
      </c>
      <c r="C369" s="6" t="s">
        <v>1814</v>
      </c>
      <c r="D369" s="6" t="s">
        <v>1788</v>
      </c>
      <c r="E369" s="6" t="s">
        <v>1605</v>
      </c>
      <c r="F369" s="6" t="s">
        <v>1606</v>
      </c>
      <c r="G369" s="6" t="s">
        <v>1607</v>
      </c>
      <c r="H369" s="6"/>
      <c r="I369" s="6" t="n">
        <v>2</v>
      </c>
    </row>
    <row r="370" customFormat="false" ht="23.25" hidden="false" customHeight="true" outlineLevel="0" collapsed="false">
      <c r="A370" s="6" t="s">
        <v>1603</v>
      </c>
      <c r="B370" s="6" t="s">
        <v>1473</v>
      </c>
      <c r="C370" s="6" t="s">
        <v>1815</v>
      </c>
      <c r="D370" s="6" t="s">
        <v>1788</v>
      </c>
      <c r="E370" s="6" t="s">
        <v>1605</v>
      </c>
      <c r="F370" s="6" t="s">
        <v>1606</v>
      </c>
      <c r="G370" s="6" t="s">
        <v>1607</v>
      </c>
      <c r="H370" s="6"/>
      <c r="I370" s="6" t="n">
        <v>2</v>
      </c>
    </row>
    <row r="371" customFormat="false" ht="23.25" hidden="false" customHeight="true" outlineLevel="0" collapsed="false">
      <c r="A371" s="6" t="s">
        <v>1603</v>
      </c>
      <c r="B371" s="6" t="s">
        <v>1473</v>
      </c>
      <c r="C371" s="6" t="s">
        <v>1816</v>
      </c>
      <c r="D371" s="6" t="s">
        <v>1788</v>
      </c>
      <c r="E371" s="6" t="s">
        <v>1605</v>
      </c>
      <c r="F371" s="6" t="s">
        <v>1606</v>
      </c>
      <c r="G371" s="6" t="s">
        <v>1607</v>
      </c>
      <c r="H371" s="6"/>
      <c r="I371" s="6" t="n">
        <v>2</v>
      </c>
    </row>
    <row r="372" customFormat="false" ht="23.25" hidden="false" customHeight="true" outlineLevel="0" collapsed="false">
      <c r="A372" s="6" t="s">
        <v>1603</v>
      </c>
      <c r="B372" s="6" t="s">
        <v>1473</v>
      </c>
      <c r="C372" s="6" t="s">
        <v>1817</v>
      </c>
      <c r="D372" s="6" t="s">
        <v>1788</v>
      </c>
      <c r="E372" s="6" t="s">
        <v>1605</v>
      </c>
      <c r="F372" s="6" t="s">
        <v>1606</v>
      </c>
      <c r="G372" s="6" t="s">
        <v>1607</v>
      </c>
      <c r="H372" s="6"/>
      <c r="I372" s="6" t="n">
        <v>3</v>
      </c>
    </row>
    <row r="373" customFormat="false" ht="23.25" hidden="false" customHeight="true" outlineLevel="0" collapsed="false">
      <c r="A373" s="6" t="s">
        <v>1603</v>
      </c>
      <c r="B373" s="6" t="s">
        <v>1473</v>
      </c>
      <c r="C373" s="6" t="s">
        <v>1818</v>
      </c>
      <c r="D373" s="6" t="s">
        <v>1788</v>
      </c>
      <c r="E373" s="6" t="s">
        <v>1605</v>
      </c>
      <c r="F373" s="6" t="s">
        <v>1606</v>
      </c>
      <c r="G373" s="6" t="s">
        <v>1607</v>
      </c>
      <c r="H373" s="6"/>
      <c r="I373" s="6" t="n">
        <v>3</v>
      </c>
    </row>
    <row r="374" customFormat="false" ht="23.25" hidden="false" customHeight="true" outlineLevel="0" collapsed="false">
      <c r="A374" s="6" t="s">
        <v>1603</v>
      </c>
      <c r="B374" s="6" t="s">
        <v>1473</v>
      </c>
      <c r="C374" s="6" t="s">
        <v>1819</v>
      </c>
      <c r="D374" s="6" t="s">
        <v>1788</v>
      </c>
      <c r="E374" s="6" t="s">
        <v>1605</v>
      </c>
      <c r="F374" s="6" t="s">
        <v>1606</v>
      </c>
      <c r="G374" s="6" t="s">
        <v>1607</v>
      </c>
      <c r="H374" s="6"/>
      <c r="I374" s="6" t="n">
        <v>2</v>
      </c>
    </row>
    <row r="375" customFormat="false" ht="23.25" hidden="false" customHeight="true" outlineLevel="0" collapsed="false">
      <c r="A375" s="6" t="s">
        <v>1603</v>
      </c>
      <c r="B375" s="6" t="s">
        <v>1473</v>
      </c>
      <c r="C375" s="6" t="s">
        <v>1820</v>
      </c>
      <c r="D375" s="6" t="s">
        <v>1788</v>
      </c>
      <c r="E375" s="6" t="s">
        <v>1605</v>
      </c>
      <c r="F375" s="6" t="s">
        <v>1606</v>
      </c>
      <c r="G375" s="6" t="s">
        <v>1607</v>
      </c>
      <c r="H375" s="6"/>
      <c r="I375" s="6" t="n">
        <v>2</v>
      </c>
    </row>
    <row r="376" customFormat="false" ht="23.25" hidden="false" customHeight="true" outlineLevel="0" collapsed="false">
      <c r="A376" s="6" t="s">
        <v>1603</v>
      </c>
      <c r="B376" s="6" t="s">
        <v>1473</v>
      </c>
      <c r="C376" s="6" t="s">
        <v>1821</v>
      </c>
      <c r="D376" s="6" t="s">
        <v>1788</v>
      </c>
      <c r="E376" s="6" t="s">
        <v>1605</v>
      </c>
      <c r="F376" s="6" t="s">
        <v>1606</v>
      </c>
      <c r="G376" s="6" t="s">
        <v>1607</v>
      </c>
      <c r="H376" s="6"/>
      <c r="I376" s="6" t="n">
        <v>2</v>
      </c>
    </row>
    <row r="377" customFormat="false" ht="23.25" hidden="false" customHeight="true" outlineLevel="0" collapsed="false">
      <c r="A377" s="6" t="s">
        <v>1603</v>
      </c>
      <c r="B377" s="6" t="s">
        <v>1473</v>
      </c>
      <c r="C377" s="6" t="s">
        <v>1822</v>
      </c>
      <c r="D377" s="6" t="s">
        <v>1788</v>
      </c>
      <c r="E377" s="6" t="s">
        <v>1605</v>
      </c>
      <c r="F377" s="6" t="s">
        <v>1606</v>
      </c>
      <c r="G377" s="6" t="s">
        <v>1607</v>
      </c>
      <c r="H377" s="6"/>
      <c r="I377" s="6" t="n">
        <v>2</v>
      </c>
    </row>
    <row r="378" customFormat="false" ht="23.25" hidden="false" customHeight="true" outlineLevel="0" collapsed="false">
      <c r="A378" s="6" t="s">
        <v>1603</v>
      </c>
      <c r="B378" s="6" t="s">
        <v>1473</v>
      </c>
      <c r="C378" s="6" t="s">
        <v>1823</v>
      </c>
      <c r="D378" s="6" t="s">
        <v>1788</v>
      </c>
      <c r="E378" s="6" t="s">
        <v>1605</v>
      </c>
      <c r="F378" s="6" t="s">
        <v>1606</v>
      </c>
      <c r="G378" s="6" t="s">
        <v>1607</v>
      </c>
      <c r="H378" s="6"/>
      <c r="I378" s="6" t="n">
        <v>2</v>
      </c>
    </row>
    <row r="379" customFormat="false" ht="23.25" hidden="false" customHeight="true" outlineLevel="0" collapsed="false">
      <c r="A379" s="6" t="s">
        <v>1603</v>
      </c>
      <c r="B379" s="6" t="s">
        <v>1473</v>
      </c>
      <c r="C379" s="6" t="s">
        <v>1824</v>
      </c>
      <c r="D379" s="6" t="s">
        <v>1788</v>
      </c>
      <c r="E379" s="6" t="s">
        <v>1605</v>
      </c>
      <c r="F379" s="6" t="s">
        <v>1606</v>
      </c>
      <c r="G379" s="6" t="s">
        <v>1607</v>
      </c>
      <c r="H379" s="6"/>
      <c r="I379" s="6" t="n">
        <v>2</v>
      </c>
    </row>
    <row r="380" customFormat="false" ht="23.25" hidden="false" customHeight="true" outlineLevel="0" collapsed="false">
      <c r="A380" s="6" t="s">
        <v>1603</v>
      </c>
      <c r="B380" s="6" t="s">
        <v>1473</v>
      </c>
      <c r="C380" s="6" t="s">
        <v>1825</v>
      </c>
      <c r="D380" s="6" t="s">
        <v>1788</v>
      </c>
      <c r="E380" s="6" t="s">
        <v>1605</v>
      </c>
      <c r="F380" s="6" t="s">
        <v>1606</v>
      </c>
      <c r="G380" s="6" t="s">
        <v>1607</v>
      </c>
      <c r="H380" s="6"/>
      <c r="I380" s="6" t="n">
        <v>2</v>
      </c>
    </row>
    <row r="381" customFormat="false" ht="23.25" hidden="false" customHeight="true" outlineLevel="0" collapsed="false">
      <c r="A381" s="6" t="s">
        <v>1603</v>
      </c>
      <c r="B381" s="6" t="s">
        <v>1473</v>
      </c>
      <c r="C381" s="6" t="s">
        <v>1826</v>
      </c>
      <c r="D381" s="6" t="s">
        <v>1788</v>
      </c>
      <c r="E381" s="6" t="s">
        <v>1605</v>
      </c>
      <c r="F381" s="6" t="s">
        <v>1606</v>
      </c>
      <c r="G381" s="6" t="s">
        <v>1607</v>
      </c>
      <c r="H381" s="6"/>
      <c r="I381" s="6" t="n">
        <v>2</v>
      </c>
    </row>
    <row r="382" customFormat="false" ht="23.25" hidden="false" customHeight="true" outlineLevel="0" collapsed="false">
      <c r="A382" s="6" t="s">
        <v>1603</v>
      </c>
      <c r="B382" s="6" t="s">
        <v>1473</v>
      </c>
      <c r="C382" s="6" t="s">
        <v>1827</v>
      </c>
      <c r="D382" s="6" t="s">
        <v>1788</v>
      </c>
      <c r="E382" s="6" t="s">
        <v>1605</v>
      </c>
      <c r="F382" s="6" t="s">
        <v>1606</v>
      </c>
      <c r="G382" s="6" t="s">
        <v>1607</v>
      </c>
      <c r="H382" s="6"/>
      <c r="I382" s="6" t="n">
        <v>4</v>
      </c>
    </row>
    <row r="383" customFormat="false" ht="23.25" hidden="false" customHeight="true" outlineLevel="0" collapsed="false">
      <c r="A383" s="6" t="s">
        <v>1603</v>
      </c>
      <c r="B383" s="6" t="s">
        <v>1473</v>
      </c>
      <c r="C383" s="6" t="s">
        <v>1828</v>
      </c>
      <c r="D383" s="6" t="s">
        <v>1788</v>
      </c>
      <c r="E383" s="6" t="s">
        <v>1605</v>
      </c>
      <c r="F383" s="6" t="s">
        <v>1606</v>
      </c>
      <c r="G383" s="6" t="s">
        <v>1607</v>
      </c>
      <c r="H383" s="6"/>
      <c r="I383" s="6" t="n">
        <v>1</v>
      </c>
    </row>
    <row r="384" customFormat="false" ht="23.25" hidden="false" customHeight="true" outlineLevel="0" collapsed="false">
      <c r="A384" s="6" t="s">
        <v>1603</v>
      </c>
      <c r="B384" s="6" t="s">
        <v>1473</v>
      </c>
      <c r="C384" s="6" t="s">
        <v>1829</v>
      </c>
      <c r="D384" s="6" t="s">
        <v>1788</v>
      </c>
      <c r="E384" s="6" t="s">
        <v>1605</v>
      </c>
      <c r="F384" s="6" t="s">
        <v>1606</v>
      </c>
      <c r="G384" s="6" t="s">
        <v>1607</v>
      </c>
      <c r="H384" s="6"/>
      <c r="I384" s="6" t="n">
        <v>3</v>
      </c>
    </row>
    <row r="385" customFormat="false" ht="23.25" hidden="false" customHeight="true" outlineLevel="0" collapsed="false">
      <c r="A385" s="6" t="s">
        <v>1603</v>
      </c>
      <c r="B385" s="6" t="s">
        <v>1473</v>
      </c>
      <c r="C385" s="6" t="s">
        <v>1830</v>
      </c>
      <c r="D385" s="6" t="s">
        <v>1788</v>
      </c>
      <c r="E385" s="6" t="s">
        <v>1605</v>
      </c>
      <c r="F385" s="6" t="s">
        <v>1606</v>
      </c>
      <c r="G385" s="6" t="s">
        <v>1607</v>
      </c>
      <c r="H385" s="6"/>
      <c r="I385" s="6" t="n">
        <v>2</v>
      </c>
    </row>
    <row r="386" customFormat="false" ht="23.25" hidden="false" customHeight="true" outlineLevel="0" collapsed="false">
      <c r="A386" s="6" t="s">
        <v>1603</v>
      </c>
      <c r="B386" s="6" t="s">
        <v>1475</v>
      </c>
      <c r="C386" s="6" t="s">
        <v>1476</v>
      </c>
      <c r="D386" s="6" t="s">
        <v>1788</v>
      </c>
      <c r="E386" s="6" t="s">
        <v>1605</v>
      </c>
      <c r="F386" s="6" t="s">
        <v>1606</v>
      </c>
      <c r="G386" s="6" t="s">
        <v>1607</v>
      </c>
      <c r="H386" s="6"/>
      <c r="I386" s="6" t="n">
        <v>2</v>
      </c>
    </row>
    <row r="387" customFormat="false" ht="23.25" hidden="false" customHeight="true" outlineLevel="0" collapsed="false">
      <c r="A387" s="6" t="s">
        <v>1603</v>
      </c>
      <c r="B387" s="6" t="s">
        <v>1477</v>
      </c>
      <c r="C387" s="6" t="s">
        <v>1478</v>
      </c>
      <c r="D387" s="6" t="s">
        <v>1788</v>
      </c>
      <c r="E387" s="6" t="s">
        <v>1605</v>
      </c>
      <c r="F387" s="6" t="s">
        <v>1606</v>
      </c>
      <c r="G387" s="6" t="s">
        <v>1607</v>
      </c>
      <c r="H387" s="6"/>
      <c r="I387" s="6" t="n">
        <v>2</v>
      </c>
    </row>
    <row r="388" customFormat="false" ht="23.25" hidden="false" customHeight="true" outlineLevel="0" collapsed="false">
      <c r="A388" s="6" t="s">
        <v>1603</v>
      </c>
      <c r="B388" s="6" t="s">
        <v>1477</v>
      </c>
      <c r="C388" s="6" t="s">
        <v>1831</v>
      </c>
      <c r="D388" s="6" t="s">
        <v>1788</v>
      </c>
      <c r="E388" s="6" t="s">
        <v>1605</v>
      </c>
      <c r="F388" s="6" t="s">
        <v>1606</v>
      </c>
      <c r="G388" s="6" t="s">
        <v>1607</v>
      </c>
      <c r="H388" s="6"/>
      <c r="I388" s="6" t="n">
        <v>2</v>
      </c>
    </row>
    <row r="389" customFormat="false" ht="23.25" hidden="false" customHeight="true" outlineLevel="0" collapsed="false">
      <c r="A389" s="6" t="s">
        <v>1603</v>
      </c>
      <c r="B389" s="6" t="s">
        <v>1477</v>
      </c>
      <c r="C389" s="6" t="s">
        <v>1832</v>
      </c>
      <c r="D389" s="6" t="s">
        <v>1788</v>
      </c>
      <c r="E389" s="6" t="s">
        <v>1605</v>
      </c>
      <c r="F389" s="6" t="s">
        <v>1606</v>
      </c>
      <c r="G389" s="6" t="s">
        <v>1607</v>
      </c>
      <c r="H389" s="6"/>
      <c r="I389" s="6" t="n">
        <v>4</v>
      </c>
    </row>
    <row r="390" customFormat="false" ht="23.25" hidden="false" customHeight="true" outlineLevel="0" collapsed="false">
      <c r="A390" s="6" t="s">
        <v>1603</v>
      </c>
      <c r="B390" s="6" t="s">
        <v>1479</v>
      </c>
      <c r="C390" s="6" t="s">
        <v>1480</v>
      </c>
      <c r="D390" s="6" t="s">
        <v>1788</v>
      </c>
      <c r="E390" s="6" t="s">
        <v>1605</v>
      </c>
      <c r="F390" s="6" t="s">
        <v>1606</v>
      </c>
      <c r="G390" s="6" t="s">
        <v>1607</v>
      </c>
      <c r="H390" s="6"/>
      <c r="I390" s="6" t="n">
        <v>2</v>
      </c>
    </row>
    <row r="391" customFormat="false" ht="23.25" hidden="false" customHeight="true" outlineLevel="0" collapsed="false">
      <c r="A391" s="6" t="s">
        <v>1603</v>
      </c>
      <c r="B391" s="6" t="s">
        <v>1481</v>
      </c>
      <c r="C391" s="6" t="s">
        <v>1482</v>
      </c>
      <c r="D391" s="6" t="s">
        <v>1788</v>
      </c>
      <c r="E391" s="6" t="s">
        <v>1605</v>
      </c>
      <c r="F391" s="6" t="s">
        <v>1606</v>
      </c>
      <c r="G391" s="6" t="s">
        <v>1607</v>
      </c>
      <c r="H391" s="6"/>
      <c r="I391" s="6" t="n">
        <v>4</v>
      </c>
    </row>
    <row r="392" customFormat="false" ht="23.25" hidden="false" customHeight="true" outlineLevel="0" collapsed="false">
      <c r="A392" s="6" t="s">
        <v>1603</v>
      </c>
      <c r="B392" s="6" t="s">
        <v>1483</v>
      </c>
      <c r="C392" s="6" t="s">
        <v>1484</v>
      </c>
      <c r="D392" s="6" t="s">
        <v>1788</v>
      </c>
      <c r="E392" s="6" t="s">
        <v>1605</v>
      </c>
      <c r="F392" s="6" t="s">
        <v>1606</v>
      </c>
      <c r="G392" s="6" t="s">
        <v>1607</v>
      </c>
      <c r="H392" s="6"/>
      <c r="I392" s="6" t="n">
        <v>2</v>
      </c>
    </row>
    <row r="393" customFormat="false" ht="23.25" hidden="false" customHeight="true" outlineLevel="0" collapsed="false">
      <c r="A393" s="6" t="s">
        <v>1603</v>
      </c>
      <c r="B393" s="6" t="s">
        <v>1485</v>
      </c>
      <c r="C393" s="6" t="s">
        <v>1486</v>
      </c>
      <c r="D393" s="6" t="s">
        <v>1788</v>
      </c>
      <c r="E393" s="6" t="s">
        <v>1605</v>
      </c>
      <c r="F393" s="6" t="s">
        <v>1606</v>
      </c>
      <c r="G393" s="6" t="s">
        <v>1607</v>
      </c>
      <c r="H393" s="6"/>
      <c r="I393" s="6" t="n">
        <v>5</v>
      </c>
    </row>
    <row r="394" customFormat="false" ht="23.25" hidden="false" customHeight="true" outlineLevel="0" collapsed="false">
      <c r="A394" s="6" t="s">
        <v>1603</v>
      </c>
      <c r="B394" s="6" t="s">
        <v>1487</v>
      </c>
      <c r="C394" s="6" t="s">
        <v>1488</v>
      </c>
      <c r="D394" s="6" t="s">
        <v>1788</v>
      </c>
      <c r="E394" s="6" t="s">
        <v>1605</v>
      </c>
      <c r="F394" s="6" t="s">
        <v>1606</v>
      </c>
      <c r="G394" s="6" t="s">
        <v>1607</v>
      </c>
      <c r="H394" s="6"/>
      <c r="I394" s="6" t="n">
        <v>2</v>
      </c>
    </row>
    <row r="395" customFormat="false" ht="23.25" hidden="false" customHeight="true" outlineLevel="0" collapsed="false">
      <c r="A395" s="6" t="s">
        <v>1603</v>
      </c>
      <c r="B395" s="6" t="s">
        <v>1487</v>
      </c>
      <c r="C395" s="6" t="s">
        <v>1833</v>
      </c>
      <c r="D395" s="6" t="s">
        <v>1788</v>
      </c>
      <c r="E395" s="6" t="s">
        <v>1605</v>
      </c>
      <c r="F395" s="6" t="s">
        <v>1606</v>
      </c>
      <c r="G395" s="6" t="s">
        <v>1607</v>
      </c>
      <c r="H395" s="6"/>
      <c r="I395" s="6" t="n">
        <v>2</v>
      </c>
    </row>
    <row r="396" customFormat="false" ht="23.25" hidden="false" customHeight="true" outlineLevel="0" collapsed="false">
      <c r="A396" s="6" t="s">
        <v>1603</v>
      </c>
      <c r="B396" s="6" t="s">
        <v>1487</v>
      </c>
      <c r="C396" s="6" t="s">
        <v>1834</v>
      </c>
      <c r="D396" s="6" t="s">
        <v>1788</v>
      </c>
      <c r="E396" s="6" t="s">
        <v>1605</v>
      </c>
      <c r="F396" s="6" t="s">
        <v>1606</v>
      </c>
      <c r="G396" s="6" t="s">
        <v>1607</v>
      </c>
      <c r="H396" s="6"/>
      <c r="I396" s="6" t="n">
        <v>2</v>
      </c>
    </row>
    <row r="397" customFormat="false" ht="23.25" hidden="false" customHeight="true" outlineLevel="0" collapsed="false">
      <c r="A397" s="6" t="s">
        <v>1603</v>
      </c>
      <c r="B397" s="6" t="s">
        <v>1487</v>
      </c>
      <c r="C397" s="6" t="s">
        <v>1835</v>
      </c>
      <c r="D397" s="6" t="s">
        <v>1788</v>
      </c>
      <c r="E397" s="6" t="s">
        <v>1605</v>
      </c>
      <c r="F397" s="6" t="s">
        <v>1606</v>
      </c>
      <c r="G397" s="6" t="s">
        <v>1607</v>
      </c>
      <c r="H397" s="6"/>
      <c r="I397" s="6" t="n">
        <v>2</v>
      </c>
    </row>
    <row r="398" customFormat="false" ht="23.25" hidden="false" customHeight="true" outlineLevel="0" collapsed="false">
      <c r="A398" s="6" t="s">
        <v>1603</v>
      </c>
      <c r="B398" s="6" t="s">
        <v>1487</v>
      </c>
      <c r="C398" s="6" t="s">
        <v>1836</v>
      </c>
      <c r="D398" s="6" t="s">
        <v>1788</v>
      </c>
      <c r="E398" s="6" t="s">
        <v>1605</v>
      </c>
      <c r="F398" s="6" t="s">
        <v>1606</v>
      </c>
      <c r="G398" s="6" t="s">
        <v>1607</v>
      </c>
      <c r="H398" s="6"/>
      <c r="I398" s="6" t="n">
        <v>2</v>
      </c>
    </row>
    <row r="399" customFormat="false" ht="23.25" hidden="false" customHeight="true" outlineLevel="0" collapsed="false">
      <c r="A399" s="6" t="s">
        <v>1603</v>
      </c>
      <c r="B399" s="6" t="s">
        <v>1487</v>
      </c>
      <c r="C399" s="6" t="s">
        <v>1837</v>
      </c>
      <c r="D399" s="6" t="s">
        <v>1788</v>
      </c>
      <c r="E399" s="6" t="s">
        <v>1605</v>
      </c>
      <c r="F399" s="6" t="s">
        <v>1606</v>
      </c>
      <c r="G399" s="6" t="s">
        <v>1607</v>
      </c>
      <c r="H399" s="6"/>
      <c r="I399" s="6" t="n">
        <v>2</v>
      </c>
    </row>
    <row r="400" customFormat="false" ht="23.25" hidden="false" customHeight="true" outlineLevel="0" collapsed="false">
      <c r="A400" s="6" t="s">
        <v>1603</v>
      </c>
      <c r="B400" s="6" t="s">
        <v>1487</v>
      </c>
      <c r="C400" s="6" t="s">
        <v>1838</v>
      </c>
      <c r="D400" s="6" t="s">
        <v>1788</v>
      </c>
      <c r="E400" s="6" t="s">
        <v>1605</v>
      </c>
      <c r="F400" s="6" t="s">
        <v>1606</v>
      </c>
      <c r="G400" s="6" t="s">
        <v>1607</v>
      </c>
      <c r="H400" s="6"/>
      <c r="I400" s="6" t="n">
        <v>2</v>
      </c>
    </row>
    <row r="401" customFormat="false" ht="23.25" hidden="false" customHeight="true" outlineLevel="0" collapsed="false">
      <c r="A401" s="6" t="s">
        <v>1603</v>
      </c>
      <c r="B401" s="6" t="s">
        <v>1487</v>
      </c>
      <c r="C401" s="6" t="s">
        <v>1839</v>
      </c>
      <c r="D401" s="6" t="s">
        <v>1788</v>
      </c>
      <c r="E401" s="6" t="s">
        <v>1605</v>
      </c>
      <c r="F401" s="6" t="s">
        <v>1606</v>
      </c>
      <c r="G401" s="6" t="s">
        <v>1607</v>
      </c>
      <c r="H401" s="6"/>
      <c r="I401" s="6" t="n">
        <v>2</v>
      </c>
    </row>
    <row r="402" customFormat="false" ht="23.25" hidden="false" customHeight="true" outlineLevel="0" collapsed="false">
      <c r="A402" s="6" t="s">
        <v>1603</v>
      </c>
      <c r="B402" s="6" t="s">
        <v>1487</v>
      </c>
      <c r="C402" s="6" t="s">
        <v>1840</v>
      </c>
      <c r="D402" s="6" t="s">
        <v>1788</v>
      </c>
      <c r="E402" s="6" t="s">
        <v>1605</v>
      </c>
      <c r="F402" s="6" t="s">
        <v>1606</v>
      </c>
      <c r="G402" s="6" t="s">
        <v>1607</v>
      </c>
      <c r="H402" s="6"/>
      <c r="I402" s="6" t="n">
        <v>2</v>
      </c>
    </row>
    <row r="403" customFormat="false" ht="23.25" hidden="false" customHeight="true" outlineLevel="0" collapsed="false">
      <c r="A403" s="6" t="s">
        <v>1603</v>
      </c>
      <c r="B403" s="6" t="s">
        <v>1489</v>
      </c>
      <c r="C403" s="6" t="s">
        <v>1490</v>
      </c>
      <c r="D403" s="6" t="s">
        <v>1788</v>
      </c>
      <c r="E403" s="6" t="s">
        <v>1605</v>
      </c>
      <c r="F403" s="6" t="s">
        <v>1606</v>
      </c>
      <c r="G403" s="6" t="s">
        <v>1607</v>
      </c>
      <c r="H403" s="6"/>
      <c r="I403" s="6" t="n">
        <v>2</v>
      </c>
    </row>
    <row r="404" customFormat="false" ht="23.25" hidden="false" customHeight="true" outlineLevel="0" collapsed="false">
      <c r="A404" s="6" t="s">
        <v>1603</v>
      </c>
      <c r="B404" s="6" t="s">
        <v>1489</v>
      </c>
      <c r="C404" s="6" t="s">
        <v>1841</v>
      </c>
      <c r="D404" s="6" t="s">
        <v>1788</v>
      </c>
      <c r="E404" s="6" t="s">
        <v>1605</v>
      </c>
      <c r="F404" s="6" t="s">
        <v>1606</v>
      </c>
      <c r="G404" s="6" t="s">
        <v>1607</v>
      </c>
      <c r="H404" s="6"/>
      <c r="I404" s="6" t="n">
        <v>2</v>
      </c>
    </row>
    <row r="405" customFormat="false" ht="23.25" hidden="false" customHeight="true" outlineLevel="0" collapsed="false">
      <c r="A405" s="6" t="s">
        <v>1603</v>
      </c>
      <c r="B405" s="6" t="s">
        <v>1489</v>
      </c>
      <c r="C405" s="6" t="s">
        <v>1842</v>
      </c>
      <c r="D405" s="6" t="s">
        <v>1788</v>
      </c>
      <c r="E405" s="6" t="s">
        <v>1605</v>
      </c>
      <c r="F405" s="6" t="s">
        <v>1606</v>
      </c>
      <c r="G405" s="6" t="s">
        <v>1607</v>
      </c>
      <c r="H405" s="6"/>
      <c r="I405" s="6" t="n">
        <v>2</v>
      </c>
    </row>
    <row r="406" customFormat="false" ht="23.25" hidden="false" customHeight="true" outlineLevel="0" collapsed="false">
      <c r="A406" s="6" t="s">
        <v>1603</v>
      </c>
      <c r="B406" s="6" t="s">
        <v>1489</v>
      </c>
      <c r="C406" s="6" t="s">
        <v>1843</v>
      </c>
      <c r="D406" s="6" t="s">
        <v>1788</v>
      </c>
      <c r="E406" s="6" t="s">
        <v>1605</v>
      </c>
      <c r="F406" s="6" t="s">
        <v>1606</v>
      </c>
      <c r="G406" s="6" t="s">
        <v>1607</v>
      </c>
      <c r="H406" s="6"/>
      <c r="I406" s="6" t="n">
        <v>2</v>
      </c>
    </row>
    <row r="407" customFormat="false" ht="23.25" hidden="false" customHeight="true" outlineLevel="0" collapsed="false">
      <c r="A407" s="6" t="s">
        <v>1603</v>
      </c>
      <c r="B407" s="6" t="s">
        <v>1491</v>
      </c>
      <c r="C407" s="6" t="s">
        <v>1492</v>
      </c>
      <c r="D407" s="6" t="s">
        <v>1788</v>
      </c>
      <c r="E407" s="6" t="s">
        <v>1605</v>
      </c>
      <c r="F407" s="6" t="s">
        <v>1606</v>
      </c>
      <c r="G407" s="6" t="s">
        <v>1607</v>
      </c>
      <c r="H407" s="6"/>
      <c r="I407" s="6" t="n">
        <v>5</v>
      </c>
    </row>
    <row r="408" customFormat="false" ht="23.25" hidden="false" customHeight="true" outlineLevel="0" collapsed="false">
      <c r="A408" s="6" t="s">
        <v>1603</v>
      </c>
      <c r="B408" s="6" t="s">
        <v>1493</v>
      </c>
      <c r="C408" s="6" t="s">
        <v>1494</v>
      </c>
      <c r="D408" s="6" t="s">
        <v>1788</v>
      </c>
      <c r="E408" s="6" t="s">
        <v>1605</v>
      </c>
      <c r="F408" s="6" t="s">
        <v>1606</v>
      </c>
      <c r="G408" s="6" t="s">
        <v>1632</v>
      </c>
      <c r="H408" s="6" t="s">
        <v>1398</v>
      </c>
      <c r="I408" s="6" t="n">
        <v>13</v>
      </c>
    </row>
    <row r="409" customFormat="false" ht="23.25" hidden="false" customHeight="true" outlineLevel="0" collapsed="false">
      <c r="A409" s="6" t="s">
        <v>1603</v>
      </c>
      <c r="B409" s="6" t="s">
        <v>1495</v>
      </c>
      <c r="C409" s="6" t="s">
        <v>1496</v>
      </c>
      <c r="D409" s="6" t="s">
        <v>1788</v>
      </c>
      <c r="E409" s="6" t="s">
        <v>1605</v>
      </c>
      <c r="F409" s="6" t="s">
        <v>1606</v>
      </c>
      <c r="G409" s="6" t="s">
        <v>1632</v>
      </c>
      <c r="H409" s="6" t="s">
        <v>1398</v>
      </c>
      <c r="I409" s="6" t="n">
        <v>3</v>
      </c>
    </row>
    <row r="410" customFormat="false" ht="23.25" hidden="false" customHeight="true" outlineLevel="0" collapsed="false">
      <c r="A410" s="6" t="s">
        <v>1603</v>
      </c>
      <c r="B410" s="6" t="s">
        <v>1497</v>
      </c>
      <c r="C410" s="6" t="s">
        <v>1498</v>
      </c>
      <c r="D410" s="6" t="s">
        <v>1788</v>
      </c>
      <c r="E410" s="6" t="s">
        <v>1605</v>
      </c>
      <c r="F410" s="6" t="s">
        <v>1606</v>
      </c>
      <c r="G410" s="6" t="s">
        <v>1632</v>
      </c>
      <c r="H410" s="6" t="s">
        <v>897</v>
      </c>
      <c r="I410" s="6" t="n">
        <v>6</v>
      </c>
    </row>
    <row r="411" customFormat="false" ht="23.25" hidden="false" customHeight="true" outlineLevel="0" collapsed="false">
      <c r="A411" s="6" t="s">
        <v>1603</v>
      </c>
      <c r="B411" s="6" t="s">
        <v>648</v>
      </c>
      <c r="C411" s="6" t="s">
        <v>649</v>
      </c>
      <c r="D411" s="6" t="s">
        <v>1788</v>
      </c>
      <c r="E411" s="6" t="s">
        <v>1605</v>
      </c>
      <c r="F411" s="6" t="s">
        <v>1606</v>
      </c>
      <c r="G411" s="6" t="s">
        <v>1607</v>
      </c>
      <c r="H411" s="6"/>
      <c r="I411" s="6" t="n">
        <v>283</v>
      </c>
    </row>
    <row r="412" customFormat="false" ht="23.25" hidden="false" customHeight="true" outlineLevel="0" collapsed="false">
      <c r="A412" s="6" t="s">
        <v>1603</v>
      </c>
      <c r="B412" s="6" t="s">
        <v>653</v>
      </c>
      <c r="C412" s="6" t="s">
        <v>654</v>
      </c>
      <c r="D412" s="6" t="s">
        <v>1788</v>
      </c>
      <c r="E412" s="6" t="s">
        <v>1605</v>
      </c>
      <c r="F412" s="6" t="s">
        <v>1606</v>
      </c>
      <c r="G412" s="6" t="s">
        <v>1607</v>
      </c>
      <c r="H412" s="6"/>
      <c r="I412" s="6" t="n">
        <v>5</v>
      </c>
    </row>
    <row r="413" customFormat="false" ht="23.25" hidden="false" customHeight="true" outlineLevel="0" collapsed="false">
      <c r="A413" s="6" t="s">
        <v>1603</v>
      </c>
      <c r="B413" s="6" t="s">
        <v>653</v>
      </c>
      <c r="C413" s="6" t="s">
        <v>1844</v>
      </c>
      <c r="D413" s="6" t="s">
        <v>1788</v>
      </c>
      <c r="E413" s="6" t="s">
        <v>1605</v>
      </c>
      <c r="F413" s="6" t="s">
        <v>1606</v>
      </c>
      <c r="G413" s="6" t="s">
        <v>1607</v>
      </c>
      <c r="H413" s="6"/>
      <c r="I413" s="6" t="n">
        <v>3</v>
      </c>
    </row>
    <row r="414" customFormat="false" ht="23.25" hidden="false" customHeight="true" outlineLevel="0" collapsed="false">
      <c r="A414" s="6" t="s">
        <v>1603</v>
      </c>
      <c r="B414" s="6" t="s">
        <v>653</v>
      </c>
      <c r="C414" s="6" t="s">
        <v>1845</v>
      </c>
      <c r="D414" s="6" t="s">
        <v>1788</v>
      </c>
      <c r="E414" s="6" t="s">
        <v>1605</v>
      </c>
      <c r="F414" s="6" t="s">
        <v>1606</v>
      </c>
      <c r="G414" s="6" t="s">
        <v>1607</v>
      </c>
      <c r="H414" s="6"/>
      <c r="I414" s="6" t="n">
        <v>3</v>
      </c>
    </row>
    <row r="415" customFormat="false" ht="23.25" hidden="false" customHeight="true" outlineLevel="0" collapsed="false">
      <c r="A415" s="6" t="s">
        <v>1603</v>
      </c>
      <c r="B415" s="6" t="s">
        <v>653</v>
      </c>
      <c r="C415" s="6" t="s">
        <v>1846</v>
      </c>
      <c r="D415" s="6" t="s">
        <v>1788</v>
      </c>
      <c r="E415" s="6" t="s">
        <v>1605</v>
      </c>
      <c r="F415" s="6" t="s">
        <v>1606</v>
      </c>
      <c r="G415" s="6" t="s">
        <v>1607</v>
      </c>
      <c r="H415" s="6"/>
      <c r="I415" s="6" t="n">
        <v>3</v>
      </c>
    </row>
    <row r="416" customFormat="false" ht="23.25" hidden="false" customHeight="true" outlineLevel="0" collapsed="false">
      <c r="A416" s="6" t="s">
        <v>1603</v>
      </c>
      <c r="B416" s="6" t="s">
        <v>653</v>
      </c>
      <c r="C416" s="6" t="s">
        <v>1847</v>
      </c>
      <c r="D416" s="6" t="s">
        <v>1788</v>
      </c>
      <c r="E416" s="6" t="s">
        <v>1605</v>
      </c>
      <c r="F416" s="6" t="s">
        <v>1606</v>
      </c>
      <c r="G416" s="6" t="s">
        <v>1607</v>
      </c>
      <c r="H416" s="6"/>
      <c r="I416" s="6" t="n">
        <v>4</v>
      </c>
    </row>
    <row r="417" customFormat="false" ht="23.25" hidden="false" customHeight="true" outlineLevel="0" collapsed="false">
      <c r="A417" s="6" t="s">
        <v>1603</v>
      </c>
      <c r="B417" s="6" t="s">
        <v>653</v>
      </c>
      <c r="C417" s="6" t="s">
        <v>1848</v>
      </c>
      <c r="D417" s="6" t="s">
        <v>1788</v>
      </c>
      <c r="E417" s="6" t="s">
        <v>1605</v>
      </c>
      <c r="F417" s="6" t="s">
        <v>1606</v>
      </c>
      <c r="G417" s="6" t="s">
        <v>1607</v>
      </c>
      <c r="H417" s="6"/>
      <c r="I417" s="6" t="n">
        <v>2</v>
      </c>
    </row>
    <row r="418" customFormat="false" ht="23.25" hidden="false" customHeight="true" outlineLevel="0" collapsed="false">
      <c r="A418" s="6" t="s">
        <v>1603</v>
      </c>
      <c r="B418" s="6" t="s">
        <v>653</v>
      </c>
      <c r="C418" s="6" t="s">
        <v>1849</v>
      </c>
      <c r="D418" s="6" t="s">
        <v>1788</v>
      </c>
      <c r="E418" s="6" t="s">
        <v>1605</v>
      </c>
      <c r="F418" s="6" t="s">
        <v>1606</v>
      </c>
      <c r="G418" s="6" t="s">
        <v>1607</v>
      </c>
      <c r="H418" s="6"/>
      <c r="I418" s="6" t="n">
        <v>4</v>
      </c>
    </row>
    <row r="419" customFormat="false" ht="23.25" hidden="false" customHeight="true" outlineLevel="0" collapsed="false">
      <c r="A419" s="6" t="s">
        <v>1603</v>
      </c>
      <c r="B419" s="6" t="s">
        <v>655</v>
      </c>
      <c r="C419" s="6" t="s">
        <v>656</v>
      </c>
      <c r="D419" s="6" t="s">
        <v>1788</v>
      </c>
      <c r="E419" s="6" t="s">
        <v>1605</v>
      </c>
      <c r="F419" s="6" t="s">
        <v>1606</v>
      </c>
      <c r="G419" s="6" t="s">
        <v>1607</v>
      </c>
      <c r="H419" s="6"/>
      <c r="I419" s="6" t="n">
        <v>22</v>
      </c>
    </row>
    <row r="420" customFormat="false" ht="23.25" hidden="false" customHeight="true" outlineLevel="0" collapsed="false">
      <c r="A420" s="6" t="s">
        <v>1603</v>
      </c>
      <c r="B420" s="6" t="s">
        <v>657</v>
      </c>
      <c r="C420" s="6" t="s">
        <v>658</v>
      </c>
      <c r="D420" s="6" t="s">
        <v>1788</v>
      </c>
      <c r="E420" s="6" t="s">
        <v>1605</v>
      </c>
      <c r="F420" s="6" t="s">
        <v>1606</v>
      </c>
      <c r="G420" s="6" t="s">
        <v>1607</v>
      </c>
      <c r="H420" s="6"/>
      <c r="I420" s="6" t="n">
        <v>5</v>
      </c>
    </row>
    <row r="421" customFormat="false" ht="23.25" hidden="false" customHeight="true" outlineLevel="0" collapsed="false">
      <c r="A421" s="6" t="s">
        <v>1603</v>
      </c>
      <c r="B421" s="6" t="s">
        <v>659</v>
      </c>
      <c r="C421" s="6" t="s">
        <v>660</v>
      </c>
      <c r="D421" s="6" t="s">
        <v>1788</v>
      </c>
      <c r="E421" s="6" t="s">
        <v>1605</v>
      </c>
      <c r="F421" s="6" t="s">
        <v>1606</v>
      </c>
      <c r="G421" s="6" t="s">
        <v>1607</v>
      </c>
      <c r="H421" s="6"/>
      <c r="I421" s="6" t="n">
        <v>9</v>
      </c>
    </row>
    <row r="422" customFormat="false" ht="23.25" hidden="false" customHeight="true" outlineLevel="0" collapsed="false">
      <c r="A422" s="6" t="s">
        <v>1603</v>
      </c>
      <c r="B422" s="6" t="s">
        <v>659</v>
      </c>
      <c r="C422" s="6" t="s">
        <v>1850</v>
      </c>
      <c r="D422" s="6" t="s">
        <v>1788</v>
      </c>
      <c r="E422" s="6" t="s">
        <v>1605</v>
      </c>
      <c r="F422" s="6" t="s">
        <v>1606</v>
      </c>
      <c r="G422" s="6" t="s">
        <v>1607</v>
      </c>
      <c r="H422" s="6"/>
      <c r="I422" s="6" t="n">
        <v>255</v>
      </c>
    </row>
    <row r="423" customFormat="false" ht="23.25" hidden="false" customHeight="true" outlineLevel="0" collapsed="false">
      <c r="A423" s="6" t="s">
        <v>1603</v>
      </c>
      <c r="B423" s="6" t="s">
        <v>659</v>
      </c>
      <c r="C423" s="6" t="s">
        <v>1851</v>
      </c>
      <c r="D423" s="6" t="s">
        <v>1788</v>
      </c>
      <c r="E423" s="6" t="s">
        <v>1605</v>
      </c>
      <c r="F423" s="6" t="s">
        <v>1606</v>
      </c>
      <c r="G423" s="6" t="s">
        <v>1607</v>
      </c>
      <c r="H423" s="6"/>
      <c r="I423" s="6" t="n">
        <v>256</v>
      </c>
    </row>
    <row r="424" customFormat="false" ht="23.25" hidden="false" customHeight="true" outlineLevel="0" collapsed="false">
      <c r="A424" s="6" t="s">
        <v>1603</v>
      </c>
      <c r="B424" s="6" t="s">
        <v>659</v>
      </c>
      <c r="C424" s="6" t="s">
        <v>1852</v>
      </c>
      <c r="D424" s="6" t="s">
        <v>1788</v>
      </c>
      <c r="E424" s="6" t="s">
        <v>1605</v>
      </c>
      <c r="F424" s="6" t="s">
        <v>1606</v>
      </c>
      <c r="G424" s="6" t="s">
        <v>1607</v>
      </c>
      <c r="H424" s="6"/>
      <c r="I424" s="6" t="n">
        <v>3</v>
      </c>
    </row>
    <row r="425" customFormat="false" ht="23.25" hidden="false" customHeight="true" outlineLevel="0" collapsed="false">
      <c r="A425" s="6" t="s">
        <v>1603</v>
      </c>
      <c r="B425" s="6" t="s">
        <v>661</v>
      </c>
      <c r="C425" s="6" t="s">
        <v>662</v>
      </c>
      <c r="D425" s="6" t="s">
        <v>1788</v>
      </c>
      <c r="E425" s="6" t="s">
        <v>1605</v>
      </c>
      <c r="F425" s="6" t="s">
        <v>1606</v>
      </c>
      <c r="G425" s="6" t="s">
        <v>1632</v>
      </c>
      <c r="H425" s="6" t="s">
        <v>663</v>
      </c>
      <c r="I425" s="6" t="n">
        <v>270</v>
      </c>
    </row>
    <row r="426" customFormat="false" ht="23.25" hidden="false" customHeight="true" outlineLevel="0" collapsed="false">
      <c r="A426" s="6" t="s">
        <v>1603</v>
      </c>
      <c r="B426" s="6" t="s">
        <v>664</v>
      </c>
      <c r="C426" s="6" t="s">
        <v>665</v>
      </c>
      <c r="D426" s="6" t="s">
        <v>1788</v>
      </c>
      <c r="E426" s="6" t="s">
        <v>1605</v>
      </c>
      <c r="F426" s="6" t="s">
        <v>1606</v>
      </c>
      <c r="G426" s="6" t="s">
        <v>1632</v>
      </c>
      <c r="H426" s="6" t="s">
        <v>663</v>
      </c>
      <c r="I426" s="6" t="n">
        <v>256</v>
      </c>
    </row>
    <row r="427" customFormat="false" ht="23.25" hidden="false" customHeight="true" outlineLevel="0" collapsed="false">
      <c r="A427" s="6" t="s">
        <v>1603</v>
      </c>
      <c r="B427" s="6" t="s">
        <v>666</v>
      </c>
      <c r="C427" s="6" t="s">
        <v>667</v>
      </c>
      <c r="D427" s="6" t="s">
        <v>1788</v>
      </c>
      <c r="E427" s="6" t="s">
        <v>1605</v>
      </c>
      <c r="F427" s="6" t="s">
        <v>1606</v>
      </c>
      <c r="G427" s="6" t="s">
        <v>1632</v>
      </c>
      <c r="H427" s="6" t="s">
        <v>663</v>
      </c>
      <c r="I427" s="6" t="n">
        <v>257</v>
      </c>
    </row>
    <row r="428" customFormat="false" ht="23.25" hidden="false" customHeight="true" outlineLevel="0" collapsed="false">
      <c r="A428" s="6" t="s">
        <v>1603</v>
      </c>
      <c r="B428" s="6" t="s">
        <v>668</v>
      </c>
      <c r="C428" s="6" t="s">
        <v>669</v>
      </c>
      <c r="D428" s="6" t="s">
        <v>1788</v>
      </c>
      <c r="E428" s="6" t="s">
        <v>1605</v>
      </c>
      <c r="F428" s="6" t="s">
        <v>1606</v>
      </c>
      <c r="G428" s="6" t="s">
        <v>1607</v>
      </c>
      <c r="H428" s="6"/>
      <c r="I428" s="6" t="n">
        <v>509</v>
      </c>
    </row>
    <row r="429" customFormat="false" ht="23.25" hidden="false" customHeight="true" outlineLevel="0" collapsed="false">
      <c r="A429" s="6" t="s">
        <v>1603</v>
      </c>
      <c r="B429" s="6" t="s">
        <v>670</v>
      </c>
      <c r="C429" s="6" t="s">
        <v>671</v>
      </c>
      <c r="D429" s="6" t="s">
        <v>1788</v>
      </c>
      <c r="E429" s="6" t="s">
        <v>1605</v>
      </c>
      <c r="F429" s="6" t="s">
        <v>1606</v>
      </c>
      <c r="G429" s="6" t="s">
        <v>1607</v>
      </c>
      <c r="H429" s="6"/>
      <c r="I429" s="6" t="n">
        <v>1024</v>
      </c>
    </row>
    <row r="430" customFormat="false" ht="23.25" hidden="false" customHeight="true" outlineLevel="0" collapsed="false">
      <c r="A430" s="6" t="s">
        <v>1603</v>
      </c>
      <c r="B430" s="6" t="s">
        <v>672</v>
      </c>
      <c r="C430" s="6" t="s">
        <v>673</v>
      </c>
      <c r="D430" s="6" t="s">
        <v>1788</v>
      </c>
      <c r="E430" s="6" t="s">
        <v>1605</v>
      </c>
      <c r="F430" s="6" t="s">
        <v>1606</v>
      </c>
      <c r="G430" s="6" t="s">
        <v>1607</v>
      </c>
      <c r="H430" s="6"/>
      <c r="I430" s="6" t="n">
        <v>1022</v>
      </c>
    </row>
    <row r="431" customFormat="false" ht="23.25" hidden="false" customHeight="true" outlineLevel="0" collapsed="false">
      <c r="A431" s="6" t="s">
        <v>1603</v>
      </c>
      <c r="B431" s="6" t="s">
        <v>674</v>
      </c>
      <c r="C431" s="6" t="s">
        <v>675</v>
      </c>
      <c r="D431" s="6" t="s">
        <v>1788</v>
      </c>
      <c r="E431" s="6" t="s">
        <v>1605</v>
      </c>
      <c r="F431" s="6" t="s">
        <v>1606</v>
      </c>
      <c r="G431" s="6" t="s">
        <v>1607</v>
      </c>
      <c r="H431" s="6"/>
      <c r="I431" s="6" t="n">
        <v>765</v>
      </c>
    </row>
    <row r="432" customFormat="false" ht="23.25" hidden="false" customHeight="true" outlineLevel="0" collapsed="false">
      <c r="A432" s="6" t="s">
        <v>1603</v>
      </c>
      <c r="B432" s="6" t="s">
        <v>676</v>
      </c>
      <c r="C432" s="6" t="s">
        <v>677</v>
      </c>
      <c r="D432" s="6" t="s">
        <v>1788</v>
      </c>
      <c r="E432" s="6" t="s">
        <v>1605</v>
      </c>
      <c r="F432" s="6" t="s">
        <v>1606</v>
      </c>
      <c r="G432" s="6" t="s">
        <v>1607</v>
      </c>
      <c r="H432" s="6"/>
      <c r="I432" s="6" t="n">
        <v>767</v>
      </c>
    </row>
    <row r="433" customFormat="false" ht="23.25" hidden="false" customHeight="true" outlineLevel="0" collapsed="false">
      <c r="A433" s="6" t="s">
        <v>1603</v>
      </c>
      <c r="B433" s="6" t="s">
        <v>678</v>
      </c>
      <c r="C433" s="6" t="s">
        <v>679</v>
      </c>
      <c r="D433" s="6" t="s">
        <v>1788</v>
      </c>
      <c r="E433" s="6" t="s">
        <v>1605</v>
      </c>
      <c r="F433" s="6" t="s">
        <v>1606</v>
      </c>
      <c r="G433" s="6" t="s">
        <v>1607</v>
      </c>
      <c r="H433" s="6"/>
      <c r="I433" s="6" t="n">
        <v>514</v>
      </c>
    </row>
    <row r="434" customFormat="false" ht="23.25" hidden="false" customHeight="true" outlineLevel="0" collapsed="false">
      <c r="A434" s="6" t="s">
        <v>1603</v>
      </c>
      <c r="B434" s="6" t="s">
        <v>680</v>
      </c>
      <c r="C434" s="6" t="s">
        <v>681</v>
      </c>
      <c r="D434" s="6" t="s">
        <v>1788</v>
      </c>
      <c r="E434" s="6" t="s">
        <v>1605</v>
      </c>
      <c r="F434" s="6" t="s">
        <v>1606</v>
      </c>
      <c r="G434" s="6" t="s">
        <v>1607</v>
      </c>
      <c r="H434" s="6"/>
      <c r="I434" s="6" t="n">
        <v>774</v>
      </c>
    </row>
    <row r="435" customFormat="false" ht="23.25" hidden="false" customHeight="true" outlineLevel="0" collapsed="false">
      <c r="A435" s="6" t="s">
        <v>1603</v>
      </c>
      <c r="B435" s="6" t="s">
        <v>682</v>
      </c>
      <c r="C435" s="6" t="s">
        <v>683</v>
      </c>
      <c r="D435" s="6" t="s">
        <v>1788</v>
      </c>
      <c r="E435" s="6" t="s">
        <v>1605</v>
      </c>
      <c r="F435" s="6" t="s">
        <v>1606</v>
      </c>
      <c r="G435" s="6" t="s">
        <v>1607</v>
      </c>
      <c r="H435" s="6"/>
      <c r="I435" s="6" t="n">
        <v>515</v>
      </c>
    </row>
    <row r="436" customFormat="false" ht="23.25" hidden="false" customHeight="true" outlineLevel="0" collapsed="false">
      <c r="A436" s="6" t="s">
        <v>1603</v>
      </c>
      <c r="B436" s="6" t="s">
        <v>684</v>
      </c>
      <c r="C436" s="6" t="s">
        <v>685</v>
      </c>
      <c r="D436" s="6" t="s">
        <v>1788</v>
      </c>
      <c r="E436" s="6" t="s">
        <v>1605</v>
      </c>
      <c r="F436" s="6" t="s">
        <v>1606</v>
      </c>
      <c r="G436" s="6" t="s">
        <v>1607</v>
      </c>
      <c r="H436" s="6"/>
      <c r="I436" s="6" t="n">
        <v>3</v>
      </c>
    </row>
    <row r="437" customFormat="false" ht="23.25" hidden="false" customHeight="true" outlineLevel="0" collapsed="false">
      <c r="A437" s="6" t="s">
        <v>1603</v>
      </c>
      <c r="B437" s="6" t="s">
        <v>686</v>
      </c>
      <c r="C437" s="6" t="s">
        <v>687</v>
      </c>
      <c r="D437" s="6" t="s">
        <v>1788</v>
      </c>
      <c r="E437" s="6" t="s">
        <v>1605</v>
      </c>
      <c r="F437" s="6" t="s">
        <v>1606</v>
      </c>
      <c r="G437" s="6" t="s">
        <v>1607</v>
      </c>
      <c r="H437" s="6"/>
      <c r="I437" s="6" t="n">
        <v>2</v>
      </c>
    </row>
    <row r="438" customFormat="false" ht="23.25" hidden="false" customHeight="true" outlineLevel="0" collapsed="false">
      <c r="A438" s="6" t="s">
        <v>1603</v>
      </c>
      <c r="B438" s="6" t="s">
        <v>686</v>
      </c>
      <c r="C438" s="6" t="s">
        <v>1853</v>
      </c>
      <c r="D438" s="6" t="s">
        <v>1788</v>
      </c>
      <c r="E438" s="6" t="s">
        <v>1605</v>
      </c>
      <c r="F438" s="6" t="s">
        <v>1606</v>
      </c>
      <c r="G438" s="6" t="s">
        <v>1607</v>
      </c>
      <c r="H438" s="6"/>
      <c r="I438" s="6" t="n">
        <v>2</v>
      </c>
    </row>
    <row r="439" customFormat="false" ht="23.25" hidden="false" customHeight="true" outlineLevel="0" collapsed="false">
      <c r="A439" s="6" t="s">
        <v>1603</v>
      </c>
      <c r="B439" s="6" t="s">
        <v>686</v>
      </c>
      <c r="C439" s="6" t="s">
        <v>1854</v>
      </c>
      <c r="D439" s="6" t="s">
        <v>1788</v>
      </c>
      <c r="E439" s="6" t="s">
        <v>1605</v>
      </c>
      <c r="F439" s="6" t="s">
        <v>1606</v>
      </c>
      <c r="G439" s="6" t="s">
        <v>1607</v>
      </c>
      <c r="H439" s="6"/>
      <c r="I439" s="6" t="n">
        <v>2</v>
      </c>
    </row>
    <row r="440" customFormat="false" ht="23.25" hidden="false" customHeight="true" outlineLevel="0" collapsed="false">
      <c r="A440" s="6" t="s">
        <v>1603</v>
      </c>
      <c r="B440" s="6" t="s">
        <v>688</v>
      </c>
      <c r="C440" s="6" t="s">
        <v>689</v>
      </c>
      <c r="D440" s="6" t="s">
        <v>1788</v>
      </c>
      <c r="E440" s="6" t="s">
        <v>1605</v>
      </c>
      <c r="F440" s="6" t="s">
        <v>1606</v>
      </c>
      <c r="G440" s="6" t="s">
        <v>1607</v>
      </c>
      <c r="H440" s="6"/>
      <c r="I440" s="6" t="n">
        <v>3</v>
      </c>
    </row>
    <row r="441" customFormat="false" ht="23.25" hidden="false" customHeight="true" outlineLevel="0" collapsed="false">
      <c r="A441" s="6" t="s">
        <v>1603</v>
      </c>
      <c r="B441" s="6" t="s">
        <v>690</v>
      </c>
      <c r="C441" s="6" t="s">
        <v>691</v>
      </c>
      <c r="D441" s="6" t="s">
        <v>1788</v>
      </c>
      <c r="E441" s="6" t="s">
        <v>1605</v>
      </c>
      <c r="F441" s="6" t="s">
        <v>1606</v>
      </c>
      <c r="G441" s="6" t="s">
        <v>1607</v>
      </c>
      <c r="H441" s="6"/>
      <c r="I441" s="6" t="n">
        <v>4</v>
      </c>
    </row>
    <row r="442" customFormat="false" ht="23.25" hidden="false" customHeight="true" outlineLevel="0" collapsed="false">
      <c r="A442" s="6" t="s">
        <v>1603</v>
      </c>
      <c r="B442" s="6" t="s">
        <v>692</v>
      </c>
      <c r="C442" s="6" t="s">
        <v>693</v>
      </c>
      <c r="D442" s="6" t="s">
        <v>1788</v>
      </c>
      <c r="E442" s="6" t="s">
        <v>1605</v>
      </c>
      <c r="F442" s="6" t="s">
        <v>1606</v>
      </c>
      <c r="G442" s="6" t="s">
        <v>1607</v>
      </c>
      <c r="H442" s="6"/>
      <c r="I442" s="6" t="n">
        <v>2</v>
      </c>
    </row>
    <row r="443" customFormat="false" ht="23.25" hidden="false" customHeight="true" outlineLevel="0" collapsed="false">
      <c r="A443" s="6" t="s">
        <v>1603</v>
      </c>
      <c r="B443" s="6" t="s">
        <v>694</v>
      </c>
      <c r="C443" s="6" t="s">
        <v>695</v>
      </c>
      <c r="D443" s="6" t="s">
        <v>1788</v>
      </c>
      <c r="E443" s="6" t="s">
        <v>1605</v>
      </c>
      <c r="F443" s="6" t="s">
        <v>1606</v>
      </c>
      <c r="G443" s="6" t="s">
        <v>1607</v>
      </c>
      <c r="H443" s="6"/>
      <c r="I443" s="6" t="n">
        <v>520</v>
      </c>
    </row>
    <row r="444" customFormat="false" ht="23.25" hidden="false" customHeight="true" outlineLevel="0" collapsed="false">
      <c r="A444" s="6" t="s">
        <v>1603</v>
      </c>
      <c r="B444" s="6" t="s">
        <v>696</v>
      </c>
      <c r="C444" s="6" t="s">
        <v>697</v>
      </c>
      <c r="D444" s="6" t="s">
        <v>1788</v>
      </c>
      <c r="E444" s="6" t="s">
        <v>1605</v>
      </c>
      <c r="F444" s="6" t="s">
        <v>1606</v>
      </c>
      <c r="G444" s="6" t="s">
        <v>1607</v>
      </c>
      <c r="H444" s="6"/>
      <c r="I444" s="6" t="n">
        <v>517</v>
      </c>
    </row>
    <row r="445" customFormat="false" ht="23.25" hidden="false" customHeight="true" outlineLevel="0" collapsed="false">
      <c r="A445" s="6" t="s">
        <v>1603</v>
      </c>
      <c r="B445" s="6" t="s">
        <v>698</v>
      </c>
      <c r="C445" s="6" t="s">
        <v>699</v>
      </c>
      <c r="D445" s="6" t="s">
        <v>1788</v>
      </c>
      <c r="E445" s="6" t="s">
        <v>1605</v>
      </c>
      <c r="F445" s="6" t="s">
        <v>1606</v>
      </c>
      <c r="G445" s="6" t="s">
        <v>1607</v>
      </c>
      <c r="H445" s="6"/>
      <c r="I445" s="6" t="n">
        <v>528</v>
      </c>
    </row>
    <row r="446" customFormat="false" ht="23.25" hidden="false" customHeight="true" outlineLevel="0" collapsed="false">
      <c r="A446" s="6" t="s">
        <v>1603</v>
      </c>
      <c r="B446" s="6" t="s">
        <v>700</v>
      </c>
      <c r="C446" s="6" t="s">
        <v>701</v>
      </c>
      <c r="D446" s="6" t="s">
        <v>1788</v>
      </c>
      <c r="E446" s="6" t="s">
        <v>1605</v>
      </c>
      <c r="F446" s="6" t="s">
        <v>1606</v>
      </c>
      <c r="G446" s="6" t="s">
        <v>1607</v>
      </c>
      <c r="H446" s="6"/>
      <c r="I446" s="6" t="n">
        <v>514</v>
      </c>
    </row>
    <row r="447" customFormat="false" ht="23.25" hidden="false" customHeight="true" outlineLevel="0" collapsed="false">
      <c r="A447" s="6" t="s">
        <v>1603</v>
      </c>
      <c r="B447" s="6" t="s">
        <v>702</v>
      </c>
      <c r="C447" s="6" t="s">
        <v>703</v>
      </c>
      <c r="D447" s="6" t="s">
        <v>1788</v>
      </c>
      <c r="E447" s="6" t="s">
        <v>1605</v>
      </c>
      <c r="F447" s="6" t="s">
        <v>1606</v>
      </c>
      <c r="G447" s="6" t="s">
        <v>1607</v>
      </c>
      <c r="H447" s="6"/>
      <c r="I447" s="6" t="n">
        <v>4</v>
      </c>
    </row>
    <row r="448" customFormat="false" ht="23.25" hidden="false" customHeight="true" outlineLevel="0" collapsed="false">
      <c r="A448" s="6" t="s">
        <v>1603</v>
      </c>
      <c r="B448" s="6" t="s">
        <v>704</v>
      </c>
      <c r="C448" s="6" t="s">
        <v>705</v>
      </c>
      <c r="D448" s="6" t="s">
        <v>1788</v>
      </c>
      <c r="E448" s="6" t="s">
        <v>1605</v>
      </c>
      <c r="F448" s="6" t="s">
        <v>1606</v>
      </c>
      <c r="G448" s="6" t="s">
        <v>1607</v>
      </c>
      <c r="H448" s="6"/>
      <c r="I448" s="6" t="n">
        <v>2</v>
      </c>
    </row>
    <row r="449" customFormat="false" ht="23.25" hidden="false" customHeight="true" outlineLevel="0" collapsed="false">
      <c r="A449" s="6" t="s">
        <v>1603</v>
      </c>
      <c r="B449" s="6" t="s">
        <v>706</v>
      </c>
      <c r="C449" s="6" t="s">
        <v>707</v>
      </c>
      <c r="D449" s="6" t="s">
        <v>1788</v>
      </c>
      <c r="E449" s="6" t="s">
        <v>1605</v>
      </c>
      <c r="F449" s="6" t="s">
        <v>1606</v>
      </c>
      <c r="G449" s="6" t="s">
        <v>1607</v>
      </c>
      <c r="H449" s="6"/>
      <c r="I449" s="6" t="n">
        <v>550</v>
      </c>
    </row>
    <row r="450" customFormat="false" ht="23.25" hidden="false" customHeight="true" outlineLevel="0" collapsed="false">
      <c r="A450" s="6" t="s">
        <v>1603</v>
      </c>
      <c r="B450" s="6" t="s">
        <v>60</v>
      </c>
      <c r="C450" s="6" t="s">
        <v>708</v>
      </c>
      <c r="D450" s="6" t="s">
        <v>1788</v>
      </c>
      <c r="E450" s="6" t="s">
        <v>1605</v>
      </c>
      <c r="F450" s="6" t="s">
        <v>1606</v>
      </c>
      <c r="G450" s="6" t="s">
        <v>1607</v>
      </c>
      <c r="H450" s="6"/>
      <c r="I450" s="6" t="n">
        <v>520</v>
      </c>
    </row>
    <row r="451" customFormat="false" ht="23.25" hidden="false" customHeight="true" outlineLevel="0" collapsed="false">
      <c r="A451" s="6" t="s">
        <v>1603</v>
      </c>
      <c r="B451" s="6" t="s">
        <v>709</v>
      </c>
      <c r="C451" s="6" t="s">
        <v>710</v>
      </c>
      <c r="D451" s="6" t="s">
        <v>1788</v>
      </c>
      <c r="E451" s="6" t="s">
        <v>1605</v>
      </c>
      <c r="F451" s="6" t="s">
        <v>1606</v>
      </c>
      <c r="G451" s="6" t="s">
        <v>1607</v>
      </c>
      <c r="H451" s="6"/>
      <c r="I451" s="6" t="n">
        <v>514</v>
      </c>
    </row>
    <row r="452" customFormat="false" ht="23.25" hidden="false" customHeight="true" outlineLevel="0" collapsed="false">
      <c r="A452" s="6" t="s">
        <v>1603</v>
      </c>
      <c r="B452" s="6" t="s">
        <v>711</v>
      </c>
      <c r="C452" s="6" t="s">
        <v>712</v>
      </c>
      <c r="D452" s="6" t="s">
        <v>1788</v>
      </c>
      <c r="E452" s="6" t="s">
        <v>1605</v>
      </c>
      <c r="F452" s="6" t="s">
        <v>1606</v>
      </c>
      <c r="G452" s="6" t="s">
        <v>1607</v>
      </c>
      <c r="H452" s="6"/>
      <c r="I452" s="6" t="n">
        <v>519</v>
      </c>
    </row>
    <row r="453" customFormat="false" ht="23.25" hidden="false" customHeight="true" outlineLevel="0" collapsed="false">
      <c r="A453" s="6" t="s">
        <v>1603</v>
      </c>
      <c r="B453" s="6" t="s">
        <v>1269</v>
      </c>
      <c r="C453" s="6" t="s">
        <v>1270</v>
      </c>
      <c r="D453" s="6" t="s">
        <v>1788</v>
      </c>
      <c r="E453" s="6" t="s">
        <v>1605</v>
      </c>
      <c r="F453" s="6" t="s">
        <v>1606</v>
      </c>
      <c r="G453" s="6" t="s">
        <v>1607</v>
      </c>
      <c r="H453" s="6"/>
      <c r="I453" s="6" t="n">
        <v>10</v>
      </c>
    </row>
    <row r="454" customFormat="false" ht="23.25" hidden="false" customHeight="true" outlineLevel="0" collapsed="false">
      <c r="A454" s="6" t="s">
        <v>1603</v>
      </c>
      <c r="B454" s="6" t="s">
        <v>1269</v>
      </c>
      <c r="C454" s="6" t="s">
        <v>1855</v>
      </c>
      <c r="D454" s="6" t="s">
        <v>1788</v>
      </c>
      <c r="E454" s="6" t="s">
        <v>1605</v>
      </c>
      <c r="F454" s="6" t="s">
        <v>1606</v>
      </c>
      <c r="G454" s="6" t="s">
        <v>1607</v>
      </c>
      <c r="H454" s="6"/>
      <c r="I454" s="6" t="n">
        <v>19</v>
      </c>
    </row>
    <row r="455" customFormat="false" ht="23.25" hidden="false" customHeight="true" outlineLevel="0" collapsed="false">
      <c r="A455" s="6" t="s">
        <v>1603</v>
      </c>
      <c r="B455" s="6" t="s">
        <v>1269</v>
      </c>
      <c r="C455" s="6" t="s">
        <v>1856</v>
      </c>
      <c r="D455" s="6" t="s">
        <v>1788</v>
      </c>
      <c r="E455" s="6" t="s">
        <v>1605</v>
      </c>
      <c r="F455" s="6" t="s">
        <v>1606</v>
      </c>
      <c r="G455" s="6" t="s">
        <v>1607</v>
      </c>
      <c r="H455" s="6"/>
      <c r="I455" s="6" t="n">
        <v>9</v>
      </c>
    </row>
    <row r="456" customFormat="false" ht="23.25" hidden="false" customHeight="true" outlineLevel="0" collapsed="false">
      <c r="A456" s="6" t="s">
        <v>1603</v>
      </c>
      <c r="B456" s="6" t="s">
        <v>1269</v>
      </c>
      <c r="C456" s="6" t="s">
        <v>1857</v>
      </c>
      <c r="D456" s="6" t="s">
        <v>1788</v>
      </c>
      <c r="E456" s="6" t="s">
        <v>1605</v>
      </c>
      <c r="F456" s="6" t="s">
        <v>1606</v>
      </c>
      <c r="G456" s="6" t="s">
        <v>1607</v>
      </c>
      <c r="H456" s="6"/>
      <c r="I456" s="6" t="n">
        <v>3</v>
      </c>
    </row>
    <row r="457" customFormat="false" ht="23.25" hidden="false" customHeight="true" outlineLevel="0" collapsed="false">
      <c r="A457" s="6" t="s">
        <v>1603</v>
      </c>
      <c r="B457" s="6" t="s">
        <v>1269</v>
      </c>
      <c r="C457" s="6" t="s">
        <v>1858</v>
      </c>
      <c r="D457" s="6" t="s">
        <v>1788</v>
      </c>
      <c r="E457" s="6" t="s">
        <v>1605</v>
      </c>
      <c r="F457" s="6" t="s">
        <v>1606</v>
      </c>
      <c r="G457" s="6" t="s">
        <v>1607</v>
      </c>
      <c r="H457" s="6"/>
      <c r="I457" s="6" t="n">
        <v>6</v>
      </c>
    </row>
    <row r="458" customFormat="false" ht="23.25" hidden="false" customHeight="true" outlineLevel="0" collapsed="false">
      <c r="A458" s="6" t="s">
        <v>1603</v>
      </c>
      <c r="B458" s="6" t="s">
        <v>1269</v>
      </c>
      <c r="C458" s="6" t="s">
        <v>1859</v>
      </c>
      <c r="D458" s="6" t="s">
        <v>1788</v>
      </c>
      <c r="E458" s="6" t="s">
        <v>1605</v>
      </c>
      <c r="F458" s="6" t="s">
        <v>1606</v>
      </c>
      <c r="G458" s="6" t="s">
        <v>1607</v>
      </c>
      <c r="H458" s="6"/>
      <c r="I458" s="6" t="n">
        <v>2</v>
      </c>
    </row>
    <row r="459" customFormat="false" ht="23.25" hidden="false" customHeight="true" outlineLevel="0" collapsed="false">
      <c r="A459" s="6" t="s">
        <v>1603</v>
      </c>
      <c r="B459" s="6" t="s">
        <v>1269</v>
      </c>
      <c r="C459" s="6" t="s">
        <v>1860</v>
      </c>
      <c r="D459" s="6" t="s">
        <v>1788</v>
      </c>
      <c r="E459" s="6" t="s">
        <v>1605</v>
      </c>
      <c r="F459" s="6" t="s">
        <v>1606</v>
      </c>
      <c r="G459" s="6" t="s">
        <v>1607</v>
      </c>
      <c r="H459" s="6"/>
      <c r="I459" s="6" t="n">
        <v>2</v>
      </c>
    </row>
    <row r="460" customFormat="false" ht="23.25" hidden="false" customHeight="true" outlineLevel="0" collapsed="false">
      <c r="A460" s="6" t="s">
        <v>1603</v>
      </c>
      <c r="B460" s="6" t="s">
        <v>1269</v>
      </c>
      <c r="C460" s="6" t="s">
        <v>1861</v>
      </c>
      <c r="D460" s="6" t="s">
        <v>1788</v>
      </c>
      <c r="E460" s="6" t="s">
        <v>1605</v>
      </c>
      <c r="F460" s="6" t="s">
        <v>1606</v>
      </c>
      <c r="G460" s="6" t="s">
        <v>1607</v>
      </c>
      <c r="H460" s="6"/>
      <c r="I460" s="6" t="n">
        <v>2</v>
      </c>
    </row>
    <row r="461" customFormat="false" ht="23.25" hidden="false" customHeight="true" outlineLevel="0" collapsed="false">
      <c r="A461" s="6" t="s">
        <v>1603</v>
      </c>
      <c r="B461" s="6" t="s">
        <v>1269</v>
      </c>
      <c r="C461" s="6" t="s">
        <v>1862</v>
      </c>
      <c r="D461" s="6" t="s">
        <v>1788</v>
      </c>
      <c r="E461" s="6" t="s">
        <v>1605</v>
      </c>
      <c r="F461" s="6" t="s">
        <v>1606</v>
      </c>
      <c r="G461" s="6" t="s">
        <v>1607</v>
      </c>
      <c r="H461" s="6"/>
      <c r="I461" s="6" t="n">
        <v>2</v>
      </c>
    </row>
    <row r="462" customFormat="false" ht="23.25" hidden="false" customHeight="true" outlineLevel="0" collapsed="false">
      <c r="A462" s="6" t="s">
        <v>1603</v>
      </c>
      <c r="B462" s="6" t="s">
        <v>1269</v>
      </c>
      <c r="C462" s="6" t="s">
        <v>1863</v>
      </c>
      <c r="D462" s="6" t="s">
        <v>1788</v>
      </c>
      <c r="E462" s="6" t="s">
        <v>1605</v>
      </c>
      <c r="F462" s="6" t="s">
        <v>1606</v>
      </c>
      <c r="G462" s="6" t="s">
        <v>1607</v>
      </c>
      <c r="H462" s="6"/>
      <c r="I462" s="6" t="n">
        <v>3</v>
      </c>
    </row>
    <row r="463" customFormat="false" ht="23.25" hidden="false" customHeight="true" outlineLevel="0" collapsed="false">
      <c r="A463" s="6" t="s">
        <v>1603</v>
      </c>
      <c r="B463" s="6" t="s">
        <v>1269</v>
      </c>
      <c r="C463" s="6" t="s">
        <v>1864</v>
      </c>
      <c r="D463" s="6" t="s">
        <v>1788</v>
      </c>
      <c r="E463" s="6" t="s">
        <v>1605</v>
      </c>
      <c r="F463" s="6" t="s">
        <v>1606</v>
      </c>
      <c r="G463" s="6" t="s">
        <v>1607</v>
      </c>
      <c r="H463" s="6"/>
      <c r="I463" s="6" t="n">
        <v>2</v>
      </c>
    </row>
    <row r="464" customFormat="false" ht="23.25" hidden="false" customHeight="true" outlineLevel="0" collapsed="false">
      <c r="A464" s="6" t="s">
        <v>1603</v>
      </c>
      <c r="B464" s="6" t="s">
        <v>1269</v>
      </c>
      <c r="C464" s="6" t="s">
        <v>1865</v>
      </c>
      <c r="D464" s="6" t="s">
        <v>1788</v>
      </c>
      <c r="E464" s="6" t="s">
        <v>1605</v>
      </c>
      <c r="F464" s="6" t="s">
        <v>1606</v>
      </c>
      <c r="G464" s="6" t="s">
        <v>1607</v>
      </c>
      <c r="H464" s="6"/>
      <c r="I464" s="6" t="n">
        <v>2</v>
      </c>
    </row>
    <row r="465" customFormat="false" ht="23.25" hidden="false" customHeight="true" outlineLevel="0" collapsed="false">
      <c r="A465" s="6" t="s">
        <v>1603</v>
      </c>
      <c r="B465" s="6" t="s">
        <v>1269</v>
      </c>
      <c r="C465" s="6" t="s">
        <v>1866</v>
      </c>
      <c r="D465" s="6" t="s">
        <v>1788</v>
      </c>
      <c r="E465" s="6" t="s">
        <v>1605</v>
      </c>
      <c r="F465" s="6" t="s">
        <v>1606</v>
      </c>
      <c r="G465" s="6" t="s">
        <v>1607</v>
      </c>
      <c r="H465" s="6"/>
      <c r="I465" s="6" t="n">
        <v>2</v>
      </c>
    </row>
    <row r="466" customFormat="false" ht="23.25" hidden="false" customHeight="true" outlineLevel="0" collapsed="false">
      <c r="A466" s="6" t="s">
        <v>1603</v>
      </c>
      <c r="B466" s="6" t="s">
        <v>1269</v>
      </c>
      <c r="C466" s="6" t="s">
        <v>1867</v>
      </c>
      <c r="D466" s="6" t="s">
        <v>1788</v>
      </c>
      <c r="E466" s="6" t="s">
        <v>1605</v>
      </c>
      <c r="F466" s="6" t="s">
        <v>1606</v>
      </c>
      <c r="G466" s="6" t="s">
        <v>1607</v>
      </c>
      <c r="H466" s="6"/>
      <c r="I466" s="6" t="n">
        <v>2</v>
      </c>
    </row>
    <row r="467" customFormat="false" ht="23.25" hidden="false" customHeight="true" outlineLevel="0" collapsed="false">
      <c r="A467" s="6" t="s">
        <v>1603</v>
      </c>
      <c r="B467" s="6" t="s">
        <v>1269</v>
      </c>
      <c r="C467" s="6" t="s">
        <v>1868</v>
      </c>
      <c r="D467" s="6" t="s">
        <v>1788</v>
      </c>
      <c r="E467" s="6" t="s">
        <v>1605</v>
      </c>
      <c r="F467" s="6" t="s">
        <v>1606</v>
      </c>
      <c r="G467" s="6" t="s">
        <v>1607</v>
      </c>
      <c r="H467" s="6"/>
      <c r="I467" s="6" t="n">
        <v>2</v>
      </c>
    </row>
    <row r="468" customFormat="false" ht="23.25" hidden="false" customHeight="true" outlineLevel="0" collapsed="false">
      <c r="A468" s="6" t="s">
        <v>1603</v>
      </c>
      <c r="B468" s="6" t="s">
        <v>1269</v>
      </c>
      <c r="C468" s="6" t="s">
        <v>1869</v>
      </c>
      <c r="D468" s="6" t="s">
        <v>1788</v>
      </c>
      <c r="E468" s="6" t="s">
        <v>1605</v>
      </c>
      <c r="F468" s="6" t="s">
        <v>1606</v>
      </c>
      <c r="G468" s="6" t="s">
        <v>1607</v>
      </c>
      <c r="H468" s="6"/>
      <c r="I468" s="6" t="n">
        <v>2</v>
      </c>
    </row>
    <row r="469" customFormat="false" ht="23.25" hidden="false" customHeight="true" outlineLevel="0" collapsed="false">
      <c r="A469" s="6" t="s">
        <v>1603</v>
      </c>
      <c r="B469" s="6" t="s">
        <v>1269</v>
      </c>
      <c r="C469" s="6" t="s">
        <v>1870</v>
      </c>
      <c r="D469" s="6" t="s">
        <v>1788</v>
      </c>
      <c r="E469" s="6" t="s">
        <v>1605</v>
      </c>
      <c r="F469" s="6" t="s">
        <v>1606</v>
      </c>
      <c r="G469" s="6" t="s">
        <v>1607</v>
      </c>
      <c r="H469" s="6"/>
      <c r="I469" s="6" t="n">
        <v>2</v>
      </c>
    </row>
    <row r="470" customFormat="false" ht="23.25" hidden="false" customHeight="true" outlineLevel="0" collapsed="false">
      <c r="A470" s="6" t="s">
        <v>1603</v>
      </c>
      <c r="B470" s="6" t="s">
        <v>1269</v>
      </c>
      <c r="C470" s="6" t="s">
        <v>1871</v>
      </c>
      <c r="D470" s="6" t="s">
        <v>1788</v>
      </c>
      <c r="E470" s="6" t="s">
        <v>1605</v>
      </c>
      <c r="F470" s="6" t="s">
        <v>1606</v>
      </c>
      <c r="G470" s="6" t="s">
        <v>1607</v>
      </c>
      <c r="H470" s="6"/>
      <c r="I470" s="6" t="n">
        <v>2</v>
      </c>
    </row>
    <row r="471" customFormat="false" ht="23.25" hidden="false" customHeight="true" outlineLevel="0" collapsed="false">
      <c r="A471" s="6" t="s">
        <v>1603</v>
      </c>
      <c r="B471" s="6" t="s">
        <v>1269</v>
      </c>
      <c r="C471" s="6" t="s">
        <v>1872</v>
      </c>
      <c r="D471" s="6" t="s">
        <v>1788</v>
      </c>
      <c r="E471" s="6" t="s">
        <v>1605</v>
      </c>
      <c r="F471" s="6" t="s">
        <v>1606</v>
      </c>
      <c r="G471" s="6" t="s">
        <v>1607</v>
      </c>
      <c r="H471" s="6"/>
      <c r="I471" s="6" t="n">
        <v>2</v>
      </c>
    </row>
    <row r="472" customFormat="false" ht="23.25" hidden="false" customHeight="true" outlineLevel="0" collapsed="false">
      <c r="A472" s="6" t="s">
        <v>1603</v>
      </c>
      <c r="B472" s="6" t="s">
        <v>1269</v>
      </c>
      <c r="C472" s="6" t="s">
        <v>1873</v>
      </c>
      <c r="D472" s="6" t="s">
        <v>1788</v>
      </c>
      <c r="E472" s="6" t="s">
        <v>1605</v>
      </c>
      <c r="F472" s="6" t="s">
        <v>1606</v>
      </c>
      <c r="G472" s="6" t="s">
        <v>1607</v>
      </c>
      <c r="H472" s="6"/>
      <c r="I472" s="6" t="n">
        <v>2</v>
      </c>
    </row>
    <row r="473" customFormat="false" ht="23.25" hidden="false" customHeight="true" outlineLevel="0" collapsed="false">
      <c r="A473" s="6" t="s">
        <v>1603</v>
      </c>
      <c r="B473" s="6" t="s">
        <v>1269</v>
      </c>
      <c r="C473" s="6" t="s">
        <v>1874</v>
      </c>
      <c r="D473" s="6" t="s">
        <v>1788</v>
      </c>
      <c r="E473" s="6" t="s">
        <v>1605</v>
      </c>
      <c r="F473" s="6" t="s">
        <v>1606</v>
      </c>
      <c r="G473" s="6" t="s">
        <v>1607</v>
      </c>
      <c r="H473" s="6"/>
      <c r="I473" s="6" t="n">
        <v>2</v>
      </c>
    </row>
    <row r="474" customFormat="false" ht="23.25" hidden="false" customHeight="true" outlineLevel="0" collapsed="false">
      <c r="A474" s="6" t="s">
        <v>1603</v>
      </c>
      <c r="B474" s="6" t="s">
        <v>1269</v>
      </c>
      <c r="C474" s="6" t="s">
        <v>1875</v>
      </c>
      <c r="D474" s="6" t="s">
        <v>1788</v>
      </c>
      <c r="E474" s="6" t="s">
        <v>1605</v>
      </c>
      <c r="F474" s="6" t="s">
        <v>1606</v>
      </c>
      <c r="G474" s="6" t="s">
        <v>1607</v>
      </c>
      <c r="H474" s="6"/>
      <c r="I474" s="6" t="n">
        <v>2</v>
      </c>
    </row>
    <row r="475" customFormat="false" ht="23.25" hidden="false" customHeight="true" outlineLevel="0" collapsed="false">
      <c r="A475" s="6" t="s">
        <v>1603</v>
      </c>
      <c r="B475" s="6" t="s">
        <v>1269</v>
      </c>
      <c r="C475" s="6" t="s">
        <v>1876</v>
      </c>
      <c r="D475" s="6" t="s">
        <v>1788</v>
      </c>
      <c r="E475" s="6" t="s">
        <v>1605</v>
      </c>
      <c r="F475" s="6" t="s">
        <v>1606</v>
      </c>
      <c r="G475" s="6" t="s">
        <v>1607</v>
      </c>
      <c r="H475" s="6"/>
      <c r="I475" s="6" t="n">
        <v>2</v>
      </c>
    </row>
    <row r="476" customFormat="false" ht="23.25" hidden="false" customHeight="true" outlineLevel="0" collapsed="false">
      <c r="A476" s="6" t="s">
        <v>1603</v>
      </c>
      <c r="B476" s="6" t="s">
        <v>1269</v>
      </c>
      <c r="C476" s="6" t="s">
        <v>1877</v>
      </c>
      <c r="D476" s="6" t="s">
        <v>1788</v>
      </c>
      <c r="E476" s="6" t="s">
        <v>1605</v>
      </c>
      <c r="F476" s="6" t="s">
        <v>1606</v>
      </c>
      <c r="G476" s="6" t="s">
        <v>1607</v>
      </c>
      <c r="H476" s="6"/>
      <c r="I476" s="6" t="n">
        <v>2</v>
      </c>
    </row>
    <row r="477" customFormat="false" ht="23.25" hidden="false" customHeight="true" outlineLevel="0" collapsed="false">
      <c r="A477" s="6" t="s">
        <v>1603</v>
      </c>
      <c r="B477" s="6" t="s">
        <v>1269</v>
      </c>
      <c r="C477" s="6" t="s">
        <v>1878</v>
      </c>
      <c r="D477" s="6" t="s">
        <v>1788</v>
      </c>
      <c r="E477" s="6" t="s">
        <v>1605</v>
      </c>
      <c r="F477" s="6" t="s">
        <v>1606</v>
      </c>
      <c r="G477" s="6" t="s">
        <v>1607</v>
      </c>
      <c r="H477" s="6"/>
      <c r="I477" s="6" t="n">
        <v>2</v>
      </c>
    </row>
    <row r="478" customFormat="false" ht="23.25" hidden="false" customHeight="true" outlineLevel="0" collapsed="false">
      <c r="A478" s="6" t="s">
        <v>1603</v>
      </c>
      <c r="B478" s="6" t="s">
        <v>1269</v>
      </c>
      <c r="C478" s="6" t="s">
        <v>1879</v>
      </c>
      <c r="D478" s="6" t="s">
        <v>1788</v>
      </c>
      <c r="E478" s="6" t="s">
        <v>1605</v>
      </c>
      <c r="F478" s="6" t="s">
        <v>1606</v>
      </c>
      <c r="G478" s="6" t="s">
        <v>1607</v>
      </c>
      <c r="H478" s="6"/>
      <c r="I478" s="6" t="n">
        <v>2</v>
      </c>
    </row>
    <row r="479" customFormat="false" ht="23.25" hidden="false" customHeight="true" outlineLevel="0" collapsed="false">
      <c r="A479" s="6" t="s">
        <v>1603</v>
      </c>
      <c r="B479" s="6" t="s">
        <v>1269</v>
      </c>
      <c r="C479" s="6" t="s">
        <v>1880</v>
      </c>
      <c r="D479" s="6" t="s">
        <v>1788</v>
      </c>
      <c r="E479" s="6" t="s">
        <v>1605</v>
      </c>
      <c r="F479" s="6" t="s">
        <v>1606</v>
      </c>
      <c r="G479" s="6" t="s">
        <v>1607</v>
      </c>
      <c r="H479" s="6"/>
      <c r="I479" s="6" t="n">
        <v>2</v>
      </c>
    </row>
    <row r="480" customFormat="false" ht="23.25" hidden="false" customHeight="true" outlineLevel="0" collapsed="false">
      <c r="A480" s="6" t="s">
        <v>1603</v>
      </c>
      <c r="B480" s="6" t="s">
        <v>1269</v>
      </c>
      <c r="C480" s="6" t="s">
        <v>1881</v>
      </c>
      <c r="D480" s="6" t="s">
        <v>1788</v>
      </c>
      <c r="E480" s="6" t="s">
        <v>1605</v>
      </c>
      <c r="F480" s="6" t="s">
        <v>1606</v>
      </c>
      <c r="G480" s="6" t="s">
        <v>1607</v>
      </c>
      <c r="H480" s="6"/>
      <c r="I480" s="6" t="n">
        <v>2</v>
      </c>
    </row>
    <row r="481" customFormat="false" ht="34.5" hidden="false" customHeight="true" outlineLevel="0" collapsed="false">
      <c r="A481" s="6" t="s">
        <v>1603</v>
      </c>
      <c r="B481" s="6" t="s">
        <v>1269</v>
      </c>
      <c r="C481" s="6" t="s">
        <v>1882</v>
      </c>
      <c r="D481" s="6" t="s">
        <v>1788</v>
      </c>
      <c r="E481" s="6" t="s">
        <v>1605</v>
      </c>
      <c r="F481" s="6" t="s">
        <v>1606</v>
      </c>
      <c r="G481" s="6" t="s">
        <v>1607</v>
      </c>
      <c r="H481" s="6"/>
      <c r="I481" s="6" t="n">
        <v>2</v>
      </c>
    </row>
    <row r="482" customFormat="false" ht="23.25" hidden="false" customHeight="true" outlineLevel="0" collapsed="false">
      <c r="A482" s="6" t="s">
        <v>1603</v>
      </c>
      <c r="B482" s="6" t="s">
        <v>1269</v>
      </c>
      <c r="C482" s="6" t="s">
        <v>1883</v>
      </c>
      <c r="D482" s="6" t="s">
        <v>1788</v>
      </c>
      <c r="E482" s="6" t="s">
        <v>1605</v>
      </c>
      <c r="F482" s="6" t="s">
        <v>1606</v>
      </c>
      <c r="G482" s="6" t="s">
        <v>1607</v>
      </c>
      <c r="H482" s="6"/>
      <c r="I482" s="6" t="n">
        <v>3</v>
      </c>
    </row>
    <row r="483" customFormat="false" ht="23.25" hidden="false" customHeight="true" outlineLevel="0" collapsed="false">
      <c r="A483" s="6" t="s">
        <v>1603</v>
      </c>
      <c r="B483" s="6" t="s">
        <v>1269</v>
      </c>
      <c r="C483" s="6" t="s">
        <v>1884</v>
      </c>
      <c r="D483" s="6" t="s">
        <v>1788</v>
      </c>
      <c r="E483" s="6" t="s">
        <v>1605</v>
      </c>
      <c r="F483" s="6" t="s">
        <v>1606</v>
      </c>
      <c r="G483" s="6" t="s">
        <v>1607</v>
      </c>
      <c r="H483" s="6"/>
      <c r="I483" s="6" t="n">
        <v>2</v>
      </c>
    </row>
    <row r="484" customFormat="false" ht="23.25" hidden="false" customHeight="true" outlineLevel="0" collapsed="false">
      <c r="A484" s="6" t="s">
        <v>1603</v>
      </c>
      <c r="B484" s="6" t="s">
        <v>1269</v>
      </c>
      <c r="C484" s="6" t="s">
        <v>1885</v>
      </c>
      <c r="D484" s="6" t="s">
        <v>1788</v>
      </c>
      <c r="E484" s="6" t="s">
        <v>1605</v>
      </c>
      <c r="F484" s="6" t="s">
        <v>1606</v>
      </c>
      <c r="G484" s="6" t="s">
        <v>1607</v>
      </c>
      <c r="H484" s="6"/>
      <c r="I484" s="6" t="n">
        <v>2</v>
      </c>
    </row>
    <row r="485" customFormat="false" ht="23.25" hidden="false" customHeight="true" outlineLevel="0" collapsed="false">
      <c r="A485" s="6" t="s">
        <v>1603</v>
      </c>
      <c r="B485" s="6" t="s">
        <v>1269</v>
      </c>
      <c r="C485" s="6" t="s">
        <v>1886</v>
      </c>
      <c r="D485" s="6" t="s">
        <v>1788</v>
      </c>
      <c r="E485" s="6" t="s">
        <v>1605</v>
      </c>
      <c r="F485" s="6" t="s">
        <v>1606</v>
      </c>
      <c r="G485" s="6" t="s">
        <v>1607</v>
      </c>
      <c r="H485" s="6"/>
      <c r="I485" s="6" t="n">
        <v>2</v>
      </c>
    </row>
    <row r="486" customFormat="false" ht="23.25" hidden="false" customHeight="true" outlineLevel="0" collapsed="false">
      <c r="A486" s="6" t="s">
        <v>1603</v>
      </c>
      <c r="B486" s="6" t="s">
        <v>1269</v>
      </c>
      <c r="C486" s="6" t="s">
        <v>1887</v>
      </c>
      <c r="D486" s="6" t="s">
        <v>1788</v>
      </c>
      <c r="E486" s="6" t="s">
        <v>1605</v>
      </c>
      <c r="F486" s="6" t="s">
        <v>1606</v>
      </c>
      <c r="G486" s="6" t="s">
        <v>1607</v>
      </c>
      <c r="H486" s="6"/>
      <c r="I486" s="6" t="n">
        <v>2</v>
      </c>
    </row>
    <row r="487" customFormat="false" ht="23.25" hidden="false" customHeight="true" outlineLevel="0" collapsed="false">
      <c r="A487" s="6" t="s">
        <v>1603</v>
      </c>
      <c r="B487" s="6" t="s">
        <v>1269</v>
      </c>
      <c r="C487" s="6" t="s">
        <v>1888</v>
      </c>
      <c r="D487" s="6" t="s">
        <v>1788</v>
      </c>
      <c r="E487" s="6" t="s">
        <v>1605</v>
      </c>
      <c r="F487" s="6" t="s">
        <v>1606</v>
      </c>
      <c r="G487" s="6" t="s">
        <v>1607</v>
      </c>
      <c r="H487" s="6"/>
      <c r="I487" s="6" t="n">
        <v>2</v>
      </c>
    </row>
    <row r="488" customFormat="false" ht="23.25" hidden="false" customHeight="true" outlineLevel="0" collapsed="false">
      <c r="A488" s="6" t="s">
        <v>1603</v>
      </c>
      <c r="B488" s="6" t="s">
        <v>1269</v>
      </c>
      <c r="C488" s="6" t="s">
        <v>1889</v>
      </c>
      <c r="D488" s="6" t="s">
        <v>1788</v>
      </c>
      <c r="E488" s="6" t="s">
        <v>1605</v>
      </c>
      <c r="F488" s="6" t="s">
        <v>1606</v>
      </c>
      <c r="G488" s="6" t="s">
        <v>1607</v>
      </c>
      <c r="H488" s="6"/>
      <c r="I488" s="6" t="n">
        <v>2</v>
      </c>
    </row>
    <row r="489" customFormat="false" ht="23.25" hidden="false" customHeight="true" outlineLevel="0" collapsed="false">
      <c r="A489" s="6" t="s">
        <v>1603</v>
      </c>
      <c r="B489" s="6" t="s">
        <v>1273</v>
      </c>
      <c r="C489" s="6" t="s">
        <v>1274</v>
      </c>
      <c r="D489" s="6" t="s">
        <v>1788</v>
      </c>
      <c r="E489" s="6" t="s">
        <v>1605</v>
      </c>
      <c r="F489" s="6" t="s">
        <v>1606</v>
      </c>
      <c r="G489" s="6" t="s">
        <v>1607</v>
      </c>
      <c r="H489" s="6"/>
      <c r="I489" s="6" t="n">
        <v>5</v>
      </c>
    </row>
    <row r="490" customFormat="false" ht="23.25" hidden="false" customHeight="true" outlineLevel="0" collapsed="false">
      <c r="A490" s="6" t="s">
        <v>1603</v>
      </c>
      <c r="B490" s="6" t="s">
        <v>1275</v>
      </c>
      <c r="C490" s="6" t="s">
        <v>1276</v>
      </c>
      <c r="D490" s="6" t="s">
        <v>1788</v>
      </c>
      <c r="E490" s="6" t="s">
        <v>1605</v>
      </c>
      <c r="F490" s="6" t="s">
        <v>1606</v>
      </c>
      <c r="G490" s="6" t="s">
        <v>1607</v>
      </c>
      <c r="H490" s="6"/>
      <c r="I490" s="6" t="n">
        <v>3</v>
      </c>
    </row>
    <row r="491" customFormat="false" ht="23.25" hidden="false" customHeight="true" outlineLevel="0" collapsed="false">
      <c r="A491" s="6" t="s">
        <v>1603</v>
      </c>
      <c r="B491" s="6" t="s">
        <v>1277</v>
      </c>
      <c r="C491" s="6" t="s">
        <v>1278</v>
      </c>
      <c r="D491" s="6" t="s">
        <v>1788</v>
      </c>
      <c r="E491" s="6" t="s">
        <v>1605</v>
      </c>
      <c r="F491" s="6" t="s">
        <v>1606</v>
      </c>
      <c r="G491" s="6" t="s">
        <v>1607</v>
      </c>
      <c r="H491" s="6"/>
      <c r="I491" s="6" t="n">
        <v>5</v>
      </c>
    </row>
    <row r="492" customFormat="false" ht="23.25" hidden="false" customHeight="true" outlineLevel="0" collapsed="false">
      <c r="A492" s="6" t="s">
        <v>1603</v>
      </c>
      <c r="B492" s="6" t="s">
        <v>1279</v>
      </c>
      <c r="C492" s="6" t="s">
        <v>1280</v>
      </c>
      <c r="D492" s="6" t="s">
        <v>1788</v>
      </c>
      <c r="E492" s="6" t="s">
        <v>1605</v>
      </c>
      <c r="F492" s="6" t="s">
        <v>1606</v>
      </c>
      <c r="G492" s="6" t="s">
        <v>1607</v>
      </c>
      <c r="H492" s="6"/>
      <c r="I492" s="6" t="n">
        <v>5</v>
      </c>
    </row>
    <row r="493" customFormat="false" ht="23.25" hidden="false" customHeight="true" outlineLevel="0" collapsed="false">
      <c r="A493" s="6" t="s">
        <v>1603</v>
      </c>
      <c r="B493" s="6" t="s">
        <v>1281</v>
      </c>
      <c r="C493" s="6" t="s">
        <v>1282</v>
      </c>
      <c r="D493" s="6" t="s">
        <v>1788</v>
      </c>
      <c r="E493" s="6" t="s">
        <v>1605</v>
      </c>
      <c r="F493" s="6" t="s">
        <v>1606</v>
      </c>
      <c r="G493" s="6" t="s">
        <v>1607</v>
      </c>
      <c r="H493" s="6"/>
      <c r="I493" s="6" t="n">
        <v>6</v>
      </c>
    </row>
    <row r="494" customFormat="false" ht="23.25" hidden="false" customHeight="true" outlineLevel="0" collapsed="false">
      <c r="A494" s="6" t="s">
        <v>1603</v>
      </c>
      <c r="B494" s="6" t="s">
        <v>1283</v>
      </c>
      <c r="C494" s="6" t="s">
        <v>1284</v>
      </c>
      <c r="D494" s="6" t="s">
        <v>1788</v>
      </c>
      <c r="E494" s="6" t="s">
        <v>1605</v>
      </c>
      <c r="F494" s="6" t="s">
        <v>1606</v>
      </c>
      <c r="G494" s="6" t="s">
        <v>1607</v>
      </c>
      <c r="H494" s="6"/>
      <c r="I494" s="6" t="n">
        <v>11</v>
      </c>
    </row>
    <row r="495" customFormat="false" ht="23.25" hidden="false" customHeight="true" outlineLevel="0" collapsed="false">
      <c r="A495" s="6" t="s">
        <v>1603</v>
      </c>
      <c r="B495" s="6" t="s">
        <v>1285</v>
      </c>
      <c r="C495" s="6" t="s">
        <v>1286</v>
      </c>
      <c r="D495" s="6" t="s">
        <v>1788</v>
      </c>
      <c r="E495" s="6" t="s">
        <v>1605</v>
      </c>
      <c r="F495" s="6" t="s">
        <v>1606</v>
      </c>
      <c r="G495" s="6" t="s">
        <v>1607</v>
      </c>
      <c r="H495" s="6"/>
      <c r="I495" s="6" t="n">
        <v>4</v>
      </c>
    </row>
    <row r="496" customFormat="false" ht="23.25" hidden="false" customHeight="true" outlineLevel="0" collapsed="false">
      <c r="A496" s="6" t="s">
        <v>1603</v>
      </c>
      <c r="B496" s="6" t="s">
        <v>1287</v>
      </c>
      <c r="C496" s="6" t="s">
        <v>1288</v>
      </c>
      <c r="D496" s="6" t="s">
        <v>1788</v>
      </c>
      <c r="E496" s="6" t="s">
        <v>1605</v>
      </c>
      <c r="F496" s="6" t="s">
        <v>1606</v>
      </c>
      <c r="G496" s="6" t="s">
        <v>1632</v>
      </c>
      <c r="H496" s="6" t="s">
        <v>1289</v>
      </c>
      <c r="I496" s="6" t="n">
        <v>8</v>
      </c>
    </row>
    <row r="497" customFormat="false" ht="23.25" hidden="false" customHeight="true" outlineLevel="0" collapsed="false">
      <c r="A497" s="6" t="s">
        <v>1603</v>
      </c>
      <c r="B497" s="6" t="s">
        <v>1290</v>
      </c>
      <c r="C497" s="6" t="s">
        <v>1291</v>
      </c>
      <c r="D497" s="6" t="s">
        <v>1788</v>
      </c>
      <c r="E497" s="6" t="s">
        <v>1605</v>
      </c>
      <c r="F497" s="6" t="s">
        <v>1606</v>
      </c>
      <c r="G497" s="6" t="s">
        <v>1607</v>
      </c>
      <c r="H497" s="6"/>
      <c r="I497" s="6" t="n">
        <v>4</v>
      </c>
    </row>
    <row r="498" customFormat="false" ht="23.25" hidden="false" customHeight="true" outlineLevel="0" collapsed="false">
      <c r="A498" s="6" t="s">
        <v>1603</v>
      </c>
      <c r="B498" s="6" t="s">
        <v>1292</v>
      </c>
      <c r="C498" s="6" t="s">
        <v>1293</v>
      </c>
      <c r="D498" s="6" t="s">
        <v>1788</v>
      </c>
      <c r="E498" s="6" t="s">
        <v>1605</v>
      </c>
      <c r="F498" s="6" t="s">
        <v>1606</v>
      </c>
      <c r="G498" s="6" t="s">
        <v>1607</v>
      </c>
      <c r="H498" s="6"/>
      <c r="I498" s="6" t="n">
        <v>12</v>
      </c>
    </row>
    <row r="499" customFormat="false" ht="23.25" hidden="false" customHeight="true" outlineLevel="0" collapsed="false">
      <c r="A499" s="6" t="s">
        <v>1603</v>
      </c>
      <c r="B499" s="6" t="s">
        <v>1294</v>
      </c>
      <c r="C499" s="6" t="s">
        <v>1295</v>
      </c>
      <c r="D499" s="6" t="s">
        <v>1788</v>
      </c>
      <c r="E499" s="6" t="s">
        <v>1605</v>
      </c>
      <c r="F499" s="6" t="s">
        <v>1606</v>
      </c>
      <c r="G499" s="6" t="s">
        <v>1607</v>
      </c>
      <c r="H499" s="6"/>
      <c r="I499" s="6" t="n">
        <v>7</v>
      </c>
    </row>
    <row r="500" customFormat="false" ht="23.25" hidden="false" customHeight="true" outlineLevel="0" collapsed="false">
      <c r="A500" s="6" t="s">
        <v>1603</v>
      </c>
      <c r="B500" s="6" t="s">
        <v>801</v>
      </c>
      <c r="C500" s="6" t="s">
        <v>802</v>
      </c>
      <c r="D500" s="6" t="s">
        <v>1788</v>
      </c>
      <c r="E500" s="6" t="s">
        <v>1605</v>
      </c>
      <c r="F500" s="6" t="s">
        <v>1606</v>
      </c>
      <c r="G500" s="6" t="s">
        <v>1607</v>
      </c>
      <c r="H500" s="6"/>
      <c r="I500" s="6" t="n">
        <v>3</v>
      </c>
    </row>
    <row r="501" customFormat="false" ht="23.25" hidden="false" customHeight="true" outlineLevel="0" collapsed="false">
      <c r="A501" s="6" t="s">
        <v>1603</v>
      </c>
      <c r="B501" s="6" t="s">
        <v>805</v>
      </c>
      <c r="C501" s="6" t="s">
        <v>806</v>
      </c>
      <c r="D501" s="6" t="s">
        <v>1788</v>
      </c>
      <c r="E501" s="6" t="s">
        <v>1605</v>
      </c>
      <c r="F501" s="6" t="s">
        <v>1606</v>
      </c>
      <c r="G501" s="6" t="s">
        <v>1607</v>
      </c>
      <c r="H501" s="6"/>
      <c r="I501" s="6" t="n">
        <v>12</v>
      </c>
    </row>
    <row r="502" customFormat="false" ht="23.25" hidden="false" customHeight="true" outlineLevel="0" collapsed="false">
      <c r="A502" s="6" t="s">
        <v>1603</v>
      </c>
      <c r="B502" s="6" t="s">
        <v>807</v>
      </c>
      <c r="C502" s="6" t="s">
        <v>808</v>
      </c>
      <c r="D502" s="6" t="s">
        <v>1788</v>
      </c>
      <c r="E502" s="6" t="s">
        <v>1605</v>
      </c>
      <c r="F502" s="6" t="s">
        <v>1606</v>
      </c>
      <c r="G502" s="6" t="s">
        <v>1607</v>
      </c>
      <c r="H502" s="6"/>
      <c r="I502" s="6" t="n">
        <v>1</v>
      </c>
    </row>
    <row r="503" customFormat="false" ht="23.25" hidden="false" customHeight="true" outlineLevel="0" collapsed="false">
      <c r="A503" s="6" t="s">
        <v>1603</v>
      </c>
      <c r="B503" s="6" t="s">
        <v>809</v>
      </c>
      <c r="C503" s="6" t="s">
        <v>810</v>
      </c>
      <c r="D503" s="6" t="s">
        <v>1788</v>
      </c>
      <c r="E503" s="6" t="s">
        <v>1605</v>
      </c>
      <c r="F503" s="6" t="s">
        <v>1606</v>
      </c>
      <c r="G503" s="6" t="s">
        <v>1607</v>
      </c>
      <c r="H503" s="6"/>
      <c r="I503" s="6" t="n">
        <v>1</v>
      </c>
    </row>
    <row r="504" customFormat="false" ht="23.25" hidden="false" customHeight="true" outlineLevel="0" collapsed="false">
      <c r="A504" s="6" t="s">
        <v>1603</v>
      </c>
      <c r="B504" s="6" t="s">
        <v>811</v>
      </c>
      <c r="C504" s="6" t="s">
        <v>812</v>
      </c>
      <c r="D504" s="6" t="s">
        <v>1788</v>
      </c>
      <c r="E504" s="6" t="s">
        <v>1605</v>
      </c>
      <c r="F504" s="6" t="s">
        <v>1606</v>
      </c>
      <c r="G504" s="6" t="s">
        <v>1607</v>
      </c>
      <c r="H504" s="6"/>
      <c r="I504" s="6" t="n">
        <v>1</v>
      </c>
    </row>
    <row r="505" customFormat="false" ht="23.25" hidden="false" customHeight="true" outlineLevel="0" collapsed="false">
      <c r="A505" s="6" t="s">
        <v>1603</v>
      </c>
      <c r="B505" s="6" t="s">
        <v>813</v>
      </c>
      <c r="C505" s="6" t="s">
        <v>814</v>
      </c>
      <c r="D505" s="6" t="s">
        <v>1788</v>
      </c>
      <c r="E505" s="6" t="s">
        <v>1605</v>
      </c>
      <c r="F505" s="6" t="s">
        <v>1606</v>
      </c>
      <c r="G505" s="6" t="s">
        <v>1607</v>
      </c>
      <c r="H505" s="6"/>
      <c r="I505" s="6" t="n">
        <v>546</v>
      </c>
    </row>
    <row r="506" customFormat="false" ht="23.25" hidden="false" customHeight="true" outlineLevel="0" collapsed="false">
      <c r="A506" s="6" t="s">
        <v>1603</v>
      </c>
      <c r="B506" s="6" t="s">
        <v>815</v>
      </c>
      <c r="C506" s="6" t="s">
        <v>816</v>
      </c>
      <c r="D506" s="6" t="s">
        <v>1788</v>
      </c>
      <c r="E506" s="6" t="s">
        <v>1605</v>
      </c>
      <c r="F506" s="6" t="s">
        <v>1606</v>
      </c>
      <c r="G506" s="6" t="s">
        <v>1607</v>
      </c>
      <c r="H506" s="6"/>
      <c r="I506" s="6" t="n">
        <v>10</v>
      </c>
    </row>
    <row r="507" customFormat="false" ht="23.25" hidden="false" customHeight="true" outlineLevel="0" collapsed="false">
      <c r="A507" s="6" t="s">
        <v>1603</v>
      </c>
      <c r="B507" s="6" t="s">
        <v>815</v>
      </c>
      <c r="C507" s="6" t="s">
        <v>1890</v>
      </c>
      <c r="D507" s="6" t="s">
        <v>1788</v>
      </c>
      <c r="E507" s="6" t="s">
        <v>1605</v>
      </c>
      <c r="F507" s="6" t="s">
        <v>1606</v>
      </c>
      <c r="G507" s="6" t="s">
        <v>1607</v>
      </c>
      <c r="H507" s="6"/>
      <c r="I507" s="6" t="n">
        <v>19</v>
      </c>
    </row>
    <row r="508" customFormat="false" ht="23.25" hidden="false" customHeight="true" outlineLevel="0" collapsed="false">
      <c r="A508" s="6" t="s">
        <v>1603</v>
      </c>
      <c r="B508" s="6" t="s">
        <v>817</v>
      </c>
      <c r="C508" s="6" t="s">
        <v>818</v>
      </c>
      <c r="D508" s="6" t="s">
        <v>1788</v>
      </c>
      <c r="E508" s="6" t="s">
        <v>1605</v>
      </c>
      <c r="F508" s="6" t="s">
        <v>1606</v>
      </c>
      <c r="G508" s="6" t="s">
        <v>1607</v>
      </c>
      <c r="H508" s="6"/>
      <c r="I508" s="6" t="n">
        <v>534</v>
      </c>
    </row>
    <row r="509" customFormat="false" ht="23.25" hidden="false" customHeight="true" outlineLevel="0" collapsed="false">
      <c r="A509" s="6" t="s">
        <v>1603</v>
      </c>
      <c r="B509" s="6" t="s">
        <v>819</v>
      </c>
      <c r="C509" s="6" t="s">
        <v>820</v>
      </c>
      <c r="D509" s="6" t="s">
        <v>1788</v>
      </c>
      <c r="E509" s="6" t="s">
        <v>1605</v>
      </c>
      <c r="F509" s="6" t="s">
        <v>1606</v>
      </c>
      <c r="G509" s="6" t="s">
        <v>1607</v>
      </c>
      <c r="H509" s="6"/>
      <c r="I509" s="6" t="n">
        <v>532</v>
      </c>
    </row>
    <row r="510" customFormat="false" ht="23.25" hidden="false" customHeight="true" outlineLevel="0" collapsed="false">
      <c r="A510" s="6" t="s">
        <v>1603</v>
      </c>
      <c r="B510" s="6" t="s">
        <v>877</v>
      </c>
      <c r="C510" s="6" t="s">
        <v>878</v>
      </c>
      <c r="D510" s="6" t="s">
        <v>1788</v>
      </c>
      <c r="E510" s="6" t="s">
        <v>1605</v>
      </c>
      <c r="F510" s="6" t="s">
        <v>1606</v>
      </c>
      <c r="G510" s="6" t="s">
        <v>1607</v>
      </c>
      <c r="H510" s="6"/>
      <c r="I510" s="6" t="n">
        <v>3</v>
      </c>
    </row>
    <row r="511" customFormat="false" ht="23.25" hidden="false" customHeight="true" outlineLevel="0" collapsed="false">
      <c r="A511" s="6" t="s">
        <v>1603</v>
      </c>
      <c r="B511" s="6" t="s">
        <v>880</v>
      </c>
      <c r="C511" s="6" t="s">
        <v>881</v>
      </c>
      <c r="D511" s="6" t="s">
        <v>1788</v>
      </c>
      <c r="E511" s="6" t="s">
        <v>1605</v>
      </c>
      <c r="F511" s="6" t="s">
        <v>1606</v>
      </c>
      <c r="G511" s="6" t="s">
        <v>1607</v>
      </c>
      <c r="H511" s="6"/>
      <c r="I511" s="6" t="n">
        <v>14</v>
      </c>
    </row>
    <row r="512" customFormat="false" ht="23.25" hidden="false" customHeight="true" outlineLevel="0" collapsed="false">
      <c r="A512" s="6" t="s">
        <v>1603</v>
      </c>
      <c r="B512" s="6" t="s">
        <v>882</v>
      </c>
      <c r="C512" s="6" t="s">
        <v>883</v>
      </c>
      <c r="D512" s="6" t="s">
        <v>1788</v>
      </c>
      <c r="E512" s="6" t="s">
        <v>1605</v>
      </c>
      <c r="F512" s="6" t="s">
        <v>1606</v>
      </c>
      <c r="G512" s="6" t="s">
        <v>1607</v>
      </c>
      <c r="H512" s="6"/>
      <c r="I512" s="6" t="n">
        <v>38</v>
      </c>
    </row>
    <row r="513" customFormat="false" ht="23.25" hidden="false" customHeight="true" outlineLevel="0" collapsed="false">
      <c r="A513" s="6" t="s">
        <v>1603</v>
      </c>
      <c r="B513" s="6" t="s">
        <v>884</v>
      </c>
      <c r="C513" s="6" t="s">
        <v>885</v>
      </c>
      <c r="D513" s="6" t="s">
        <v>1788</v>
      </c>
      <c r="E513" s="6" t="s">
        <v>1605</v>
      </c>
      <c r="F513" s="6" t="s">
        <v>1606</v>
      </c>
      <c r="G513" s="6" t="s">
        <v>1607</v>
      </c>
      <c r="H513" s="6"/>
      <c r="I513" s="6" t="n">
        <v>11</v>
      </c>
    </row>
    <row r="514" customFormat="false" ht="23.25" hidden="false" customHeight="true" outlineLevel="0" collapsed="false">
      <c r="A514" s="6" t="s">
        <v>1603</v>
      </c>
      <c r="B514" s="6" t="s">
        <v>886</v>
      </c>
      <c r="C514" s="6" t="s">
        <v>887</v>
      </c>
      <c r="D514" s="6" t="s">
        <v>1788</v>
      </c>
      <c r="E514" s="6" t="s">
        <v>1605</v>
      </c>
      <c r="F514" s="6" t="s">
        <v>1606</v>
      </c>
      <c r="G514" s="6" t="s">
        <v>1607</v>
      </c>
      <c r="H514" s="6"/>
      <c r="I514" s="6" t="n">
        <v>10</v>
      </c>
    </row>
    <row r="515" customFormat="false" ht="23.25" hidden="false" customHeight="true" outlineLevel="0" collapsed="false">
      <c r="A515" s="6" t="s">
        <v>1603</v>
      </c>
      <c r="B515" s="6" t="s">
        <v>886</v>
      </c>
      <c r="C515" s="6" t="s">
        <v>1891</v>
      </c>
      <c r="D515" s="6" t="s">
        <v>1788</v>
      </c>
      <c r="E515" s="6" t="s">
        <v>1605</v>
      </c>
      <c r="F515" s="6" t="s">
        <v>1606</v>
      </c>
      <c r="G515" s="6" t="s">
        <v>1607</v>
      </c>
      <c r="H515" s="6"/>
      <c r="I515" s="6" t="n">
        <v>10</v>
      </c>
    </row>
    <row r="516" customFormat="false" ht="23.25" hidden="false" customHeight="true" outlineLevel="0" collapsed="false">
      <c r="A516" s="6" t="s">
        <v>1603</v>
      </c>
      <c r="B516" s="6" t="s">
        <v>886</v>
      </c>
      <c r="C516" s="6" t="s">
        <v>1892</v>
      </c>
      <c r="D516" s="6" t="s">
        <v>1788</v>
      </c>
      <c r="E516" s="6" t="s">
        <v>1605</v>
      </c>
      <c r="F516" s="6" t="s">
        <v>1606</v>
      </c>
      <c r="G516" s="6" t="s">
        <v>1607</v>
      </c>
      <c r="H516" s="6"/>
      <c r="I516" s="6" t="n">
        <v>10</v>
      </c>
    </row>
    <row r="517" customFormat="false" ht="23.25" hidden="false" customHeight="true" outlineLevel="0" collapsed="false">
      <c r="A517" s="6" t="s">
        <v>1603</v>
      </c>
      <c r="B517" s="6" t="s">
        <v>886</v>
      </c>
      <c r="C517" s="6" t="s">
        <v>1893</v>
      </c>
      <c r="D517" s="6" t="s">
        <v>1788</v>
      </c>
      <c r="E517" s="6" t="s">
        <v>1605</v>
      </c>
      <c r="F517" s="6" t="s">
        <v>1606</v>
      </c>
      <c r="G517" s="6" t="s">
        <v>1607</v>
      </c>
      <c r="H517" s="6"/>
      <c r="I517" s="6" t="n">
        <v>9</v>
      </c>
    </row>
    <row r="518" customFormat="false" ht="23.25" hidden="false" customHeight="true" outlineLevel="0" collapsed="false">
      <c r="A518" s="6" t="s">
        <v>1603</v>
      </c>
      <c r="B518" s="6" t="s">
        <v>886</v>
      </c>
      <c r="C518" s="6" t="s">
        <v>1894</v>
      </c>
      <c r="D518" s="6" t="s">
        <v>1788</v>
      </c>
      <c r="E518" s="6" t="s">
        <v>1605</v>
      </c>
      <c r="F518" s="6" t="s">
        <v>1606</v>
      </c>
      <c r="G518" s="6" t="s">
        <v>1607</v>
      </c>
      <c r="H518" s="6"/>
      <c r="I518" s="6" t="n">
        <v>9</v>
      </c>
    </row>
    <row r="519" customFormat="false" ht="23.25" hidden="false" customHeight="true" outlineLevel="0" collapsed="false">
      <c r="A519" s="6" t="s">
        <v>1603</v>
      </c>
      <c r="B519" s="6" t="s">
        <v>886</v>
      </c>
      <c r="C519" s="6" t="s">
        <v>1895</v>
      </c>
      <c r="D519" s="6" t="s">
        <v>1788</v>
      </c>
      <c r="E519" s="6" t="s">
        <v>1605</v>
      </c>
      <c r="F519" s="6" t="s">
        <v>1606</v>
      </c>
      <c r="G519" s="6" t="s">
        <v>1607</v>
      </c>
      <c r="H519" s="6"/>
      <c r="I519" s="6" t="n">
        <v>8</v>
      </c>
    </row>
    <row r="520" customFormat="false" ht="23.25" hidden="false" customHeight="true" outlineLevel="0" collapsed="false">
      <c r="A520" s="6" t="s">
        <v>1603</v>
      </c>
      <c r="B520" s="6" t="s">
        <v>886</v>
      </c>
      <c r="C520" s="6" t="s">
        <v>1896</v>
      </c>
      <c r="D520" s="6" t="s">
        <v>1788</v>
      </c>
      <c r="E520" s="6" t="s">
        <v>1605</v>
      </c>
      <c r="F520" s="6" t="s">
        <v>1606</v>
      </c>
      <c r="G520" s="6" t="s">
        <v>1607</v>
      </c>
      <c r="H520" s="6"/>
      <c r="I520" s="6" t="n">
        <v>8</v>
      </c>
    </row>
    <row r="521" customFormat="false" ht="23.25" hidden="false" customHeight="true" outlineLevel="0" collapsed="false">
      <c r="A521" s="6" t="s">
        <v>1603</v>
      </c>
      <c r="B521" s="6" t="s">
        <v>886</v>
      </c>
      <c r="C521" s="6" t="s">
        <v>1897</v>
      </c>
      <c r="D521" s="6" t="s">
        <v>1788</v>
      </c>
      <c r="E521" s="6" t="s">
        <v>1605</v>
      </c>
      <c r="F521" s="6" t="s">
        <v>1606</v>
      </c>
      <c r="G521" s="6" t="s">
        <v>1607</v>
      </c>
      <c r="H521" s="6"/>
      <c r="I521" s="6" t="n">
        <v>14</v>
      </c>
    </row>
    <row r="522" customFormat="false" ht="23.25" hidden="false" customHeight="true" outlineLevel="0" collapsed="false">
      <c r="A522" s="6" t="s">
        <v>1603</v>
      </c>
      <c r="B522" s="6" t="s">
        <v>886</v>
      </c>
      <c r="C522" s="6" t="s">
        <v>1898</v>
      </c>
      <c r="D522" s="6" t="s">
        <v>1788</v>
      </c>
      <c r="E522" s="6" t="s">
        <v>1605</v>
      </c>
      <c r="F522" s="6" t="s">
        <v>1606</v>
      </c>
      <c r="G522" s="6" t="s">
        <v>1607</v>
      </c>
      <c r="H522" s="6"/>
      <c r="I522" s="6" t="n">
        <v>10</v>
      </c>
    </row>
    <row r="523" customFormat="false" ht="23.25" hidden="false" customHeight="true" outlineLevel="0" collapsed="false">
      <c r="A523" s="6" t="s">
        <v>1603</v>
      </c>
      <c r="B523" s="6" t="s">
        <v>888</v>
      </c>
      <c r="C523" s="6" t="s">
        <v>889</v>
      </c>
      <c r="D523" s="6" t="s">
        <v>1788</v>
      </c>
      <c r="E523" s="6" t="s">
        <v>1605</v>
      </c>
      <c r="F523" s="6" t="s">
        <v>1606</v>
      </c>
      <c r="G523" s="6" t="s">
        <v>1607</v>
      </c>
      <c r="H523" s="6"/>
      <c r="I523" s="6" t="n">
        <v>4</v>
      </c>
    </row>
    <row r="524" customFormat="false" ht="23.25" hidden="false" customHeight="true" outlineLevel="0" collapsed="false">
      <c r="A524" s="6" t="s">
        <v>1603</v>
      </c>
      <c r="B524" s="6" t="s">
        <v>888</v>
      </c>
      <c r="C524" s="6" t="s">
        <v>1899</v>
      </c>
      <c r="D524" s="6" t="s">
        <v>1788</v>
      </c>
      <c r="E524" s="6" t="s">
        <v>1605</v>
      </c>
      <c r="F524" s="6" t="s">
        <v>1606</v>
      </c>
      <c r="G524" s="6" t="s">
        <v>1607</v>
      </c>
      <c r="H524" s="6"/>
      <c r="I524" s="6" t="n">
        <v>3</v>
      </c>
    </row>
    <row r="525" customFormat="false" ht="23.25" hidden="false" customHeight="true" outlineLevel="0" collapsed="false">
      <c r="A525" s="6" t="s">
        <v>1603</v>
      </c>
      <c r="B525" s="6" t="s">
        <v>888</v>
      </c>
      <c r="C525" s="6" t="s">
        <v>1900</v>
      </c>
      <c r="D525" s="6" t="s">
        <v>1788</v>
      </c>
      <c r="E525" s="6" t="s">
        <v>1605</v>
      </c>
      <c r="F525" s="6" t="s">
        <v>1606</v>
      </c>
      <c r="G525" s="6" t="s">
        <v>1607</v>
      </c>
      <c r="H525" s="6"/>
      <c r="I525" s="6" t="n">
        <v>2</v>
      </c>
    </row>
    <row r="526" customFormat="false" ht="23.25" hidden="false" customHeight="true" outlineLevel="0" collapsed="false">
      <c r="A526" s="6" t="s">
        <v>1603</v>
      </c>
      <c r="B526" s="6" t="s">
        <v>888</v>
      </c>
      <c r="C526" s="6" t="s">
        <v>1901</v>
      </c>
      <c r="D526" s="6" t="s">
        <v>1788</v>
      </c>
      <c r="E526" s="6" t="s">
        <v>1605</v>
      </c>
      <c r="F526" s="6" t="s">
        <v>1606</v>
      </c>
      <c r="G526" s="6" t="s">
        <v>1607</v>
      </c>
      <c r="H526" s="6"/>
      <c r="I526" s="6" t="n">
        <v>3</v>
      </c>
    </row>
    <row r="527" customFormat="false" ht="23.25" hidden="false" customHeight="true" outlineLevel="0" collapsed="false">
      <c r="A527" s="6" t="s">
        <v>1603</v>
      </c>
      <c r="B527" s="6" t="s">
        <v>888</v>
      </c>
      <c r="C527" s="6" t="s">
        <v>1902</v>
      </c>
      <c r="D527" s="6" t="s">
        <v>1788</v>
      </c>
      <c r="E527" s="6" t="s">
        <v>1605</v>
      </c>
      <c r="F527" s="6" t="s">
        <v>1606</v>
      </c>
      <c r="G527" s="6" t="s">
        <v>1607</v>
      </c>
      <c r="H527" s="6"/>
      <c r="I527" s="6" t="n">
        <v>5</v>
      </c>
    </row>
    <row r="528" customFormat="false" ht="23.25" hidden="false" customHeight="true" outlineLevel="0" collapsed="false">
      <c r="A528" s="6" t="s">
        <v>1603</v>
      </c>
      <c r="B528" s="6" t="s">
        <v>888</v>
      </c>
      <c r="C528" s="6" t="s">
        <v>1903</v>
      </c>
      <c r="D528" s="6" t="s">
        <v>1788</v>
      </c>
      <c r="E528" s="6" t="s">
        <v>1605</v>
      </c>
      <c r="F528" s="6" t="s">
        <v>1606</v>
      </c>
      <c r="G528" s="6" t="s">
        <v>1607</v>
      </c>
      <c r="H528" s="6"/>
      <c r="I528" s="6" t="n">
        <v>2</v>
      </c>
    </row>
    <row r="529" customFormat="false" ht="23.25" hidden="false" customHeight="true" outlineLevel="0" collapsed="false">
      <c r="A529" s="6" t="s">
        <v>1603</v>
      </c>
      <c r="B529" s="6" t="s">
        <v>888</v>
      </c>
      <c r="C529" s="6" t="s">
        <v>1904</v>
      </c>
      <c r="D529" s="6" t="s">
        <v>1788</v>
      </c>
      <c r="E529" s="6" t="s">
        <v>1605</v>
      </c>
      <c r="F529" s="6" t="s">
        <v>1606</v>
      </c>
      <c r="G529" s="6" t="s">
        <v>1607</v>
      </c>
      <c r="H529" s="6"/>
      <c r="I529" s="6" t="n">
        <v>2</v>
      </c>
    </row>
    <row r="530" customFormat="false" ht="23.25" hidden="false" customHeight="true" outlineLevel="0" collapsed="false">
      <c r="A530" s="6" t="s">
        <v>1603</v>
      </c>
      <c r="B530" s="6" t="s">
        <v>888</v>
      </c>
      <c r="C530" s="6" t="s">
        <v>1905</v>
      </c>
      <c r="D530" s="6" t="s">
        <v>1788</v>
      </c>
      <c r="E530" s="6" t="s">
        <v>1605</v>
      </c>
      <c r="F530" s="6" t="s">
        <v>1606</v>
      </c>
      <c r="G530" s="6" t="s">
        <v>1607</v>
      </c>
      <c r="H530" s="6"/>
      <c r="I530" s="6" t="n">
        <v>2</v>
      </c>
    </row>
    <row r="531" customFormat="false" ht="23.25" hidden="false" customHeight="true" outlineLevel="0" collapsed="false">
      <c r="A531" s="6" t="s">
        <v>1603</v>
      </c>
      <c r="B531" s="6" t="s">
        <v>888</v>
      </c>
      <c r="C531" s="6" t="s">
        <v>1906</v>
      </c>
      <c r="D531" s="6" t="s">
        <v>1788</v>
      </c>
      <c r="E531" s="6" t="s">
        <v>1605</v>
      </c>
      <c r="F531" s="6" t="s">
        <v>1606</v>
      </c>
      <c r="G531" s="6" t="s">
        <v>1607</v>
      </c>
      <c r="H531" s="6"/>
      <c r="I531" s="6" t="n">
        <v>2</v>
      </c>
    </row>
    <row r="532" customFormat="false" ht="23.25" hidden="false" customHeight="true" outlineLevel="0" collapsed="false">
      <c r="A532" s="6" t="s">
        <v>1603</v>
      </c>
      <c r="B532" s="6" t="s">
        <v>888</v>
      </c>
      <c r="C532" s="6" t="s">
        <v>1907</v>
      </c>
      <c r="D532" s="6" t="s">
        <v>1788</v>
      </c>
      <c r="E532" s="6" t="s">
        <v>1605</v>
      </c>
      <c r="F532" s="6" t="s">
        <v>1606</v>
      </c>
      <c r="G532" s="6" t="s">
        <v>1607</v>
      </c>
      <c r="H532" s="6"/>
      <c r="I532" s="6" t="n">
        <v>2</v>
      </c>
    </row>
    <row r="533" customFormat="false" ht="23.25" hidden="false" customHeight="true" outlineLevel="0" collapsed="false">
      <c r="A533" s="6" t="s">
        <v>1603</v>
      </c>
      <c r="B533" s="6" t="s">
        <v>888</v>
      </c>
      <c r="C533" s="6" t="s">
        <v>1908</v>
      </c>
      <c r="D533" s="6" t="s">
        <v>1788</v>
      </c>
      <c r="E533" s="6" t="s">
        <v>1605</v>
      </c>
      <c r="F533" s="6" t="s">
        <v>1606</v>
      </c>
      <c r="G533" s="6" t="s">
        <v>1607</v>
      </c>
      <c r="H533" s="6"/>
      <c r="I533" s="6" t="n">
        <v>2</v>
      </c>
    </row>
    <row r="534" customFormat="false" ht="23.25" hidden="false" customHeight="true" outlineLevel="0" collapsed="false">
      <c r="A534" s="6" t="s">
        <v>1603</v>
      </c>
      <c r="B534" s="6" t="s">
        <v>888</v>
      </c>
      <c r="C534" s="6" t="s">
        <v>1909</v>
      </c>
      <c r="D534" s="6" t="s">
        <v>1788</v>
      </c>
      <c r="E534" s="6" t="s">
        <v>1605</v>
      </c>
      <c r="F534" s="6" t="s">
        <v>1606</v>
      </c>
      <c r="G534" s="6" t="s">
        <v>1607</v>
      </c>
      <c r="H534" s="6"/>
      <c r="I534" s="6" t="n">
        <v>2</v>
      </c>
    </row>
    <row r="535" customFormat="false" ht="23.25" hidden="false" customHeight="true" outlineLevel="0" collapsed="false">
      <c r="A535" s="6" t="s">
        <v>1603</v>
      </c>
      <c r="B535" s="6" t="s">
        <v>888</v>
      </c>
      <c r="C535" s="6" t="s">
        <v>1910</v>
      </c>
      <c r="D535" s="6" t="s">
        <v>1788</v>
      </c>
      <c r="E535" s="6" t="s">
        <v>1605</v>
      </c>
      <c r="F535" s="6" t="s">
        <v>1606</v>
      </c>
      <c r="G535" s="6" t="s">
        <v>1607</v>
      </c>
      <c r="H535" s="6"/>
      <c r="I535" s="6" t="n">
        <v>2</v>
      </c>
    </row>
    <row r="536" customFormat="false" ht="23.25" hidden="false" customHeight="true" outlineLevel="0" collapsed="false">
      <c r="A536" s="6" t="s">
        <v>1603</v>
      </c>
      <c r="B536" s="6" t="s">
        <v>888</v>
      </c>
      <c r="C536" s="6" t="s">
        <v>1911</v>
      </c>
      <c r="D536" s="6" t="s">
        <v>1788</v>
      </c>
      <c r="E536" s="6" t="s">
        <v>1605</v>
      </c>
      <c r="F536" s="6" t="s">
        <v>1606</v>
      </c>
      <c r="G536" s="6" t="s">
        <v>1607</v>
      </c>
      <c r="H536" s="6"/>
      <c r="I536" s="6" t="n">
        <v>3</v>
      </c>
    </row>
    <row r="537" customFormat="false" ht="23.25" hidden="false" customHeight="true" outlineLevel="0" collapsed="false">
      <c r="A537" s="6" t="s">
        <v>1603</v>
      </c>
      <c r="B537" s="6" t="s">
        <v>888</v>
      </c>
      <c r="C537" s="6" t="s">
        <v>1912</v>
      </c>
      <c r="D537" s="6" t="s">
        <v>1788</v>
      </c>
      <c r="E537" s="6" t="s">
        <v>1605</v>
      </c>
      <c r="F537" s="6" t="s">
        <v>1606</v>
      </c>
      <c r="G537" s="6" t="s">
        <v>1607</v>
      </c>
      <c r="H537" s="6"/>
      <c r="I537" s="6" t="n">
        <v>2</v>
      </c>
    </row>
    <row r="538" customFormat="false" ht="23.25" hidden="false" customHeight="true" outlineLevel="0" collapsed="false">
      <c r="A538" s="6" t="s">
        <v>1603</v>
      </c>
      <c r="B538" s="6" t="s">
        <v>888</v>
      </c>
      <c r="C538" s="6" t="s">
        <v>1913</v>
      </c>
      <c r="D538" s="6" t="s">
        <v>1788</v>
      </c>
      <c r="E538" s="6" t="s">
        <v>1605</v>
      </c>
      <c r="F538" s="6" t="s">
        <v>1606</v>
      </c>
      <c r="G538" s="6" t="s">
        <v>1607</v>
      </c>
      <c r="H538" s="6"/>
      <c r="I538" s="6" t="n">
        <v>2</v>
      </c>
    </row>
    <row r="539" customFormat="false" ht="23.25" hidden="false" customHeight="true" outlineLevel="0" collapsed="false">
      <c r="A539" s="6" t="s">
        <v>1603</v>
      </c>
      <c r="B539" s="6" t="s">
        <v>890</v>
      </c>
      <c r="C539" s="6" t="s">
        <v>891</v>
      </c>
      <c r="D539" s="6" t="s">
        <v>1788</v>
      </c>
      <c r="E539" s="6" t="s">
        <v>1605</v>
      </c>
      <c r="F539" s="6" t="s">
        <v>1606</v>
      </c>
      <c r="G539" s="6" t="s">
        <v>1607</v>
      </c>
      <c r="H539" s="6"/>
      <c r="I539" s="6" t="n">
        <v>91</v>
      </c>
    </row>
    <row r="540" customFormat="false" ht="23.25" hidden="false" customHeight="true" outlineLevel="0" collapsed="false">
      <c r="A540" s="6" t="s">
        <v>1603</v>
      </c>
      <c r="B540" s="6" t="s">
        <v>892</v>
      </c>
      <c r="C540" s="6" t="s">
        <v>893</v>
      </c>
      <c r="D540" s="6" t="s">
        <v>1788</v>
      </c>
      <c r="E540" s="6" t="s">
        <v>1605</v>
      </c>
      <c r="F540" s="6" t="s">
        <v>1606</v>
      </c>
      <c r="G540" s="6" t="s">
        <v>1632</v>
      </c>
      <c r="H540" s="6" t="s">
        <v>894</v>
      </c>
      <c r="I540" s="6" t="n">
        <v>13</v>
      </c>
    </row>
    <row r="541" customFormat="false" ht="23.25" hidden="false" customHeight="true" outlineLevel="0" collapsed="false">
      <c r="A541" s="6" t="s">
        <v>1603</v>
      </c>
      <c r="B541" s="6" t="s">
        <v>895</v>
      </c>
      <c r="C541" s="6" t="s">
        <v>896</v>
      </c>
      <c r="D541" s="6" t="s">
        <v>1788</v>
      </c>
      <c r="E541" s="6" t="s">
        <v>1605</v>
      </c>
      <c r="F541" s="6" t="s">
        <v>1606</v>
      </c>
      <c r="G541" s="6" t="s">
        <v>1632</v>
      </c>
      <c r="H541" s="6" t="s">
        <v>897</v>
      </c>
      <c r="I541" s="6" t="n">
        <v>9</v>
      </c>
    </row>
    <row r="542" customFormat="false" ht="23.25" hidden="false" customHeight="true" outlineLevel="0" collapsed="false">
      <c r="A542" s="6" t="s">
        <v>1603</v>
      </c>
      <c r="B542" s="6" t="s">
        <v>898</v>
      </c>
      <c r="C542" s="6" t="s">
        <v>899</v>
      </c>
      <c r="D542" s="6" t="s">
        <v>1788</v>
      </c>
      <c r="E542" s="6" t="s">
        <v>1605</v>
      </c>
      <c r="F542" s="6" t="s">
        <v>1606</v>
      </c>
      <c r="G542" s="6" t="s">
        <v>1632</v>
      </c>
      <c r="H542" s="6" t="s">
        <v>897</v>
      </c>
      <c r="I542" s="6" t="n">
        <v>5</v>
      </c>
    </row>
    <row r="543" customFormat="false" ht="23.25" hidden="false" customHeight="true" outlineLevel="0" collapsed="false">
      <c r="A543" s="6" t="s">
        <v>1603</v>
      </c>
      <c r="B543" s="6" t="s">
        <v>900</v>
      </c>
      <c r="C543" s="6" t="s">
        <v>901</v>
      </c>
      <c r="D543" s="6" t="s">
        <v>1788</v>
      </c>
      <c r="E543" s="6" t="s">
        <v>1605</v>
      </c>
      <c r="F543" s="6" t="s">
        <v>1606</v>
      </c>
      <c r="G543" s="6" t="s">
        <v>1632</v>
      </c>
      <c r="H543" s="6" t="s">
        <v>830</v>
      </c>
      <c r="I543" s="6" t="n">
        <v>9</v>
      </c>
    </row>
    <row r="544" customFormat="false" ht="23.25" hidden="false" customHeight="true" outlineLevel="0" collapsed="false">
      <c r="A544" s="6" t="s">
        <v>1603</v>
      </c>
      <c r="B544" s="6" t="s">
        <v>902</v>
      </c>
      <c r="C544" s="6" t="s">
        <v>903</v>
      </c>
      <c r="D544" s="6" t="s">
        <v>1788</v>
      </c>
      <c r="E544" s="6" t="s">
        <v>1605</v>
      </c>
      <c r="F544" s="6" t="s">
        <v>1606</v>
      </c>
      <c r="G544" s="6" t="s">
        <v>1607</v>
      </c>
      <c r="H544" s="6"/>
      <c r="I544" s="6" t="n">
        <v>11</v>
      </c>
    </row>
    <row r="545" customFormat="false" ht="23.25" hidden="false" customHeight="true" outlineLevel="0" collapsed="false">
      <c r="A545" s="6" t="s">
        <v>1603</v>
      </c>
      <c r="B545" s="6" t="s">
        <v>904</v>
      </c>
      <c r="C545" s="6" t="s">
        <v>905</v>
      </c>
      <c r="D545" s="6" t="s">
        <v>1788</v>
      </c>
      <c r="E545" s="6" t="s">
        <v>1605</v>
      </c>
      <c r="F545" s="6" t="s">
        <v>1606</v>
      </c>
      <c r="G545" s="6" t="s">
        <v>1607</v>
      </c>
      <c r="H545" s="6"/>
      <c r="I545" s="6" t="n">
        <v>13</v>
      </c>
    </row>
    <row r="546" customFormat="false" ht="23.25" hidden="false" customHeight="true" outlineLevel="0" collapsed="false">
      <c r="A546" s="6" t="s">
        <v>1603</v>
      </c>
      <c r="B546" s="6" t="s">
        <v>906</v>
      </c>
      <c r="C546" s="6" t="s">
        <v>907</v>
      </c>
      <c r="D546" s="6" t="s">
        <v>1788</v>
      </c>
      <c r="E546" s="6" t="s">
        <v>1605</v>
      </c>
      <c r="F546" s="6" t="s">
        <v>1606</v>
      </c>
      <c r="G546" s="6" t="s">
        <v>1607</v>
      </c>
      <c r="H546" s="6"/>
      <c r="I546" s="6" t="n">
        <v>15</v>
      </c>
    </row>
    <row r="547" customFormat="false" ht="23.25" hidden="false" customHeight="true" outlineLevel="0" collapsed="false">
      <c r="A547" s="6" t="s">
        <v>1603</v>
      </c>
      <c r="B547" s="6" t="s">
        <v>908</v>
      </c>
      <c r="C547" s="6" t="s">
        <v>909</v>
      </c>
      <c r="D547" s="6" t="s">
        <v>1788</v>
      </c>
      <c r="E547" s="6" t="s">
        <v>1605</v>
      </c>
      <c r="F547" s="6" t="s">
        <v>1606</v>
      </c>
      <c r="G547" s="6" t="s">
        <v>1607</v>
      </c>
      <c r="H547" s="6"/>
      <c r="I547" s="6" t="n">
        <v>13</v>
      </c>
    </row>
    <row r="548" customFormat="false" ht="23.25" hidden="false" customHeight="true" outlineLevel="0" collapsed="false">
      <c r="A548" s="6" t="s">
        <v>1603</v>
      </c>
      <c r="B548" s="6" t="s">
        <v>910</v>
      </c>
      <c r="C548" s="6" t="s">
        <v>911</v>
      </c>
      <c r="D548" s="6" t="s">
        <v>1788</v>
      </c>
      <c r="E548" s="6" t="s">
        <v>1605</v>
      </c>
      <c r="F548" s="6" t="s">
        <v>1606</v>
      </c>
      <c r="G548" s="6" t="s">
        <v>1607</v>
      </c>
      <c r="H548" s="6"/>
      <c r="I548" s="6" t="n">
        <v>2</v>
      </c>
    </row>
    <row r="549" customFormat="false" ht="23.25" hidden="false" customHeight="true" outlineLevel="0" collapsed="false">
      <c r="A549" s="6" t="s">
        <v>1603</v>
      </c>
      <c r="B549" s="6" t="s">
        <v>912</v>
      </c>
      <c r="C549" s="6" t="s">
        <v>913</v>
      </c>
      <c r="D549" s="6" t="s">
        <v>1788</v>
      </c>
      <c r="E549" s="6" t="s">
        <v>1605</v>
      </c>
      <c r="F549" s="6" t="s">
        <v>1606</v>
      </c>
      <c r="G549" s="6" t="s">
        <v>1607</v>
      </c>
      <c r="H549" s="6"/>
      <c r="I549" s="6" t="n">
        <v>550</v>
      </c>
    </row>
    <row r="550" customFormat="false" ht="23.25" hidden="false" customHeight="true" outlineLevel="0" collapsed="false">
      <c r="A550" s="6" t="s">
        <v>1603</v>
      </c>
      <c r="B550" s="6" t="s">
        <v>914</v>
      </c>
      <c r="C550" s="6" t="s">
        <v>915</v>
      </c>
      <c r="D550" s="6" t="s">
        <v>1788</v>
      </c>
      <c r="E550" s="6" t="s">
        <v>1605</v>
      </c>
      <c r="F550" s="6" t="s">
        <v>1606</v>
      </c>
      <c r="G550" s="6" t="s">
        <v>1607</v>
      </c>
      <c r="H550" s="6"/>
      <c r="I550" s="6" t="n">
        <v>14</v>
      </c>
    </row>
    <row r="551" customFormat="false" ht="23.25" hidden="false" customHeight="true" outlineLevel="0" collapsed="false">
      <c r="A551" s="6" t="s">
        <v>1603</v>
      </c>
      <c r="B551" s="6" t="s">
        <v>916</v>
      </c>
      <c r="C551" s="6" t="s">
        <v>917</v>
      </c>
      <c r="D551" s="6" t="s">
        <v>1788</v>
      </c>
      <c r="E551" s="6" t="s">
        <v>1605</v>
      </c>
      <c r="F551" s="6" t="s">
        <v>1606</v>
      </c>
      <c r="G551" s="6" t="s">
        <v>1607</v>
      </c>
      <c r="H551" s="6"/>
      <c r="I551" s="6" t="n">
        <v>9</v>
      </c>
    </row>
    <row r="552" customFormat="false" ht="23.25" hidden="false" customHeight="true" outlineLevel="0" collapsed="false">
      <c r="A552" s="6" t="s">
        <v>1603</v>
      </c>
      <c r="B552" s="6" t="s">
        <v>918</v>
      </c>
      <c r="C552" s="6" t="s">
        <v>919</v>
      </c>
      <c r="D552" s="6" t="s">
        <v>1788</v>
      </c>
      <c r="E552" s="6" t="s">
        <v>1605</v>
      </c>
      <c r="F552" s="6" t="s">
        <v>1606</v>
      </c>
      <c r="G552" s="6" t="s">
        <v>1607</v>
      </c>
      <c r="H552" s="6"/>
      <c r="I552" s="6" t="n">
        <v>3</v>
      </c>
    </row>
    <row r="553" customFormat="false" ht="23.25" hidden="false" customHeight="true" outlineLevel="0" collapsed="false">
      <c r="A553" s="6" t="s">
        <v>1603</v>
      </c>
      <c r="B553" s="6" t="s">
        <v>920</v>
      </c>
      <c r="C553" s="6" t="s">
        <v>921</v>
      </c>
      <c r="D553" s="6" t="s">
        <v>1788</v>
      </c>
      <c r="E553" s="6" t="s">
        <v>1605</v>
      </c>
      <c r="F553" s="6" t="s">
        <v>1606</v>
      </c>
      <c r="G553" s="6" t="s">
        <v>1607</v>
      </c>
      <c r="H553" s="6"/>
      <c r="I553" s="6" t="n">
        <v>4</v>
      </c>
    </row>
    <row r="554" customFormat="false" ht="23.25" hidden="false" customHeight="true" outlineLevel="0" collapsed="false">
      <c r="A554" s="6" t="s">
        <v>1603</v>
      </c>
      <c r="B554" s="6" t="s">
        <v>922</v>
      </c>
      <c r="C554" s="6" t="s">
        <v>923</v>
      </c>
      <c r="D554" s="6" t="s">
        <v>1788</v>
      </c>
      <c r="E554" s="6" t="s">
        <v>1605</v>
      </c>
      <c r="F554" s="6" t="s">
        <v>1606</v>
      </c>
      <c r="G554" s="6" t="s">
        <v>1607</v>
      </c>
      <c r="H554" s="6"/>
      <c r="I554" s="6" t="n">
        <v>5</v>
      </c>
    </row>
    <row r="555" customFormat="false" ht="23.25" hidden="false" customHeight="true" outlineLevel="0" collapsed="false">
      <c r="A555" s="6" t="s">
        <v>1603</v>
      </c>
      <c r="B555" s="6" t="s">
        <v>1087</v>
      </c>
      <c r="C555" s="6" t="s">
        <v>1088</v>
      </c>
      <c r="D555" s="6" t="s">
        <v>1788</v>
      </c>
      <c r="E555" s="6" t="s">
        <v>1605</v>
      </c>
      <c r="F555" s="6" t="s">
        <v>1606</v>
      </c>
      <c r="G555" s="6" t="s">
        <v>1607</v>
      </c>
      <c r="H555" s="6"/>
      <c r="I555" s="6" t="n">
        <v>3</v>
      </c>
    </row>
    <row r="556" customFormat="false" ht="23.25" hidden="false" customHeight="true" outlineLevel="0" collapsed="false">
      <c r="A556" s="6" t="s">
        <v>1603</v>
      </c>
      <c r="B556" s="6" t="s">
        <v>1090</v>
      </c>
      <c r="C556" s="6" t="s">
        <v>1091</v>
      </c>
      <c r="D556" s="6" t="s">
        <v>1788</v>
      </c>
      <c r="E556" s="6" t="s">
        <v>1605</v>
      </c>
      <c r="F556" s="6" t="s">
        <v>1606</v>
      </c>
      <c r="G556" s="6" t="s">
        <v>1607</v>
      </c>
      <c r="H556" s="6"/>
      <c r="I556" s="6" t="n">
        <v>14</v>
      </c>
    </row>
    <row r="557" customFormat="false" ht="23.25" hidden="false" customHeight="true" outlineLevel="0" collapsed="false">
      <c r="A557" s="6" t="s">
        <v>1603</v>
      </c>
      <c r="B557" s="6" t="s">
        <v>1092</v>
      </c>
      <c r="C557" s="6" t="s">
        <v>1093</v>
      </c>
      <c r="D557" s="6" t="s">
        <v>1788</v>
      </c>
      <c r="E557" s="6" t="s">
        <v>1605</v>
      </c>
      <c r="F557" s="6" t="s">
        <v>1606</v>
      </c>
      <c r="G557" s="6" t="s">
        <v>1607</v>
      </c>
      <c r="H557" s="6"/>
      <c r="I557" s="6" t="n">
        <v>34</v>
      </c>
    </row>
    <row r="558" customFormat="false" ht="23.25" hidden="false" customHeight="true" outlineLevel="0" collapsed="false">
      <c r="A558" s="6" t="s">
        <v>1603</v>
      </c>
      <c r="B558" s="6" t="s">
        <v>1094</v>
      </c>
      <c r="C558" s="6" t="s">
        <v>1095</v>
      </c>
      <c r="D558" s="6" t="s">
        <v>1788</v>
      </c>
      <c r="E558" s="6" t="s">
        <v>1605</v>
      </c>
      <c r="F558" s="6" t="s">
        <v>1606</v>
      </c>
      <c r="G558" s="6" t="s">
        <v>1607</v>
      </c>
      <c r="H558" s="6"/>
      <c r="I558" s="6" t="n">
        <v>28</v>
      </c>
    </row>
    <row r="559" customFormat="false" ht="23.25" hidden="false" customHeight="true" outlineLevel="0" collapsed="false">
      <c r="A559" s="6" t="s">
        <v>1603</v>
      </c>
      <c r="B559" s="6" t="s">
        <v>1096</v>
      </c>
      <c r="C559" s="6" t="s">
        <v>1097</v>
      </c>
      <c r="D559" s="6" t="s">
        <v>1788</v>
      </c>
      <c r="E559" s="6" t="s">
        <v>1605</v>
      </c>
      <c r="F559" s="6" t="s">
        <v>1606</v>
      </c>
      <c r="G559" s="6" t="s">
        <v>1607</v>
      </c>
      <c r="H559" s="6"/>
      <c r="I559" s="6" t="n">
        <v>8</v>
      </c>
    </row>
    <row r="560" customFormat="false" ht="23.25" hidden="false" customHeight="true" outlineLevel="0" collapsed="false">
      <c r="A560" s="6" t="s">
        <v>1603</v>
      </c>
      <c r="B560" s="6" t="s">
        <v>1098</v>
      </c>
      <c r="C560" s="6" t="s">
        <v>1099</v>
      </c>
      <c r="D560" s="6" t="s">
        <v>1788</v>
      </c>
      <c r="E560" s="6" t="s">
        <v>1605</v>
      </c>
      <c r="F560" s="6" t="s">
        <v>1606</v>
      </c>
      <c r="G560" s="6" t="s">
        <v>1607</v>
      </c>
      <c r="H560" s="6"/>
      <c r="I560" s="6" t="n">
        <v>517</v>
      </c>
    </row>
    <row r="561" customFormat="false" ht="23.25" hidden="false" customHeight="true" outlineLevel="0" collapsed="false">
      <c r="A561" s="6" t="s">
        <v>1603</v>
      </c>
      <c r="B561" s="6" t="s">
        <v>1100</v>
      </c>
      <c r="C561" s="6" t="s">
        <v>1101</v>
      </c>
      <c r="D561" s="6" t="s">
        <v>1788</v>
      </c>
      <c r="E561" s="6" t="s">
        <v>1605</v>
      </c>
      <c r="F561" s="6" t="s">
        <v>1606</v>
      </c>
      <c r="G561" s="6" t="s">
        <v>1607</v>
      </c>
      <c r="H561" s="6"/>
      <c r="I561" s="6" t="n">
        <v>3</v>
      </c>
    </row>
    <row r="562" customFormat="false" ht="23.25" hidden="false" customHeight="true" outlineLevel="0" collapsed="false">
      <c r="A562" s="6" t="s">
        <v>1603</v>
      </c>
      <c r="B562" s="6" t="s">
        <v>1100</v>
      </c>
      <c r="C562" s="6" t="s">
        <v>1914</v>
      </c>
      <c r="D562" s="6" t="s">
        <v>1788</v>
      </c>
      <c r="E562" s="6" t="s">
        <v>1605</v>
      </c>
      <c r="F562" s="6" t="s">
        <v>1606</v>
      </c>
      <c r="G562" s="6" t="s">
        <v>1607</v>
      </c>
      <c r="H562" s="6"/>
      <c r="I562" s="6" t="n">
        <v>2</v>
      </c>
    </row>
    <row r="563" customFormat="false" ht="23.25" hidden="false" customHeight="true" outlineLevel="0" collapsed="false">
      <c r="A563" s="6" t="s">
        <v>1603</v>
      </c>
      <c r="B563" s="6" t="s">
        <v>1100</v>
      </c>
      <c r="C563" s="6" t="s">
        <v>1915</v>
      </c>
      <c r="D563" s="6" t="s">
        <v>1788</v>
      </c>
      <c r="E563" s="6" t="s">
        <v>1605</v>
      </c>
      <c r="F563" s="6" t="s">
        <v>1606</v>
      </c>
      <c r="G563" s="6" t="s">
        <v>1607</v>
      </c>
      <c r="H563" s="6"/>
      <c r="I563" s="6" t="n">
        <v>3</v>
      </c>
    </row>
    <row r="564" customFormat="false" ht="23.25" hidden="false" customHeight="true" outlineLevel="0" collapsed="false">
      <c r="A564" s="6" t="s">
        <v>1603</v>
      </c>
      <c r="B564" s="6" t="s">
        <v>1100</v>
      </c>
      <c r="C564" s="6" t="s">
        <v>1916</v>
      </c>
      <c r="D564" s="6" t="s">
        <v>1788</v>
      </c>
      <c r="E564" s="6" t="s">
        <v>1605</v>
      </c>
      <c r="F564" s="6" t="s">
        <v>1606</v>
      </c>
      <c r="G564" s="6" t="s">
        <v>1607</v>
      </c>
      <c r="H564" s="6"/>
      <c r="I564" s="6" t="n">
        <v>4</v>
      </c>
    </row>
    <row r="565" customFormat="false" ht="23.25" hidden="false" customHeight="true" outlineLevel="0" collapsed="false">
      <c r="A565" s="6" t="s">
        <v>1603</v>
      </c>
      <c r="B565" s="6" t="s">
        <v>1100</v>
      </c>
      <c r="C565" s="6" t="s">
        <v>1917</v>
      </c>
      <c r="D565" s="6" t="s">
        <v>1788</v>
      </c>
      <c r="E565" s="6" t="s">
        <v>1605</v>
      </c>
      <c r="F565" s="6" t="s">
        <v>1606</v>
      </c>
      <c r="G565" s="6" t="s">
        <v>1607</v>
      </c>
      <c r="H565" s="6"/>
      <c r="I565" s="6" t="n">
        <v>2</v>
      </c>
    </row>
    <row r="566" customFormat="false" ht="23.25" hidden="false" customHeight="true" outlineLevel="0" collapsed="false">
      <c r="A566" s="6" t="s">
        <v>1603</v>
      </c>
      <c r="B566" s="6" t="s">
        <v>1100</v>
      </c>
      <c r="C566" s="6" t="s">
        <v>1918</v>
      </c>
      <c r="D566" s="6" t="s">
        <v>1788</v>
      </c>
      <c r="E566" s="6" t="s">
        <v>1605</v>
      </c>
      <c r="F566" s="6" t="s">
        <v>1606</v>
      </c>
      <c r="G566" s="6" t="s">
        <v>1607</v>
      </c>
      <c r="H566" s="6"/>
      <c r="I566" s="6" t="n">
        <v>3</v>
      </c>
    </row>
    <row r="567" customFormat="false" ht="23.25" hidden="false" customHeight="true" outlineLevel="0" collapsed="false">
      <c r="A567" s="6" t="s">
        <v>1603</v>
      </c>
      <c r="B567" s="6" t="s">
        <v>1100</v>
      </c>
      <c r="C567" s="6" t="s">
        <v>1919</v>
      </c>
      <c r="D567" s="6" t="s">
        <v>1788</v>
      </c>
      <c r="E567" s="6" t="s">
        <v>1605</v>
      </c>
      <c r="F567" s="6" t="s">
        <v>1606</v>
      </c>
      <c r="G567" s="6" t="s">
        <v>1607</v>
      </c>
      <c r="H567" s="6"/>
      <c r="I567" s="6" t="n">
        <v>2</v>
      </c>
    </row>
    <row r="568" customFormat="false" ht="23.25" hidden="false" customHeight="true" outlineLevel="0" collapsed="false">
      <c r="A568" s="6" t="s">
        <v>1603</v>
      </c>
      <c r="B568" s="6" t="s">
        <v>1100</v>
      </c>
      <c r="C568" s="6" t="s">
        <v>1920</v>
      </c>
      <c r="D568" s="6" t="s">
        <v>1788</v>
      </c>
      <c r="E568" s="6" t="s">
        <v>1605</v>
      </c>
      <c r="F568" s="6" t="s">
        <v>1606</v>
      </c>
      <c r="G568" s="6" t="s">
        <v>1607</v>
      </c>
      <c r="H568" s="6"/>
      <c r="I568" s="6" t="n">
        <v>2</v>
      </c>
    </row>
    <row r="569" customFormat="false" ht="23.25" hidden="false" customHeight="true" outlineLevel="0" collapsed="false">
      <c r="A569" s="6" t="s">
        <v>1603</v>
      </c>
      <c r="B569" s="6" t="s">
        <v>1100</v>
      </c>
      <c r="C569" s="6" t="s">
        <v>1921</v>
      </c>
      <c r="D569" s="6" t="s">
        <v>1788</v>
      </c>
      <c r="E569" s="6" t="s">
        <v>1605</v>
      </c>
      <c r="F569" s="6" t="s">
        <v>1606</v>
      </c>
      <c r="G569" s="6" t="s">
        <v>1607</v>
      </c>
      <c r="H569" s="6"/>
      <c r="I569" s="6" t="n">
        <v>2</v>
      </c>
    </row>
    <row r="570" customFormat="false" ht="23.25" hidden="false" customHeight="true" outlineLevel="0" collapsed="false">
      <c r="A570" s="6" t="s">
        <v>1603</v>
      </c>
      <c r="B570" s="6" t="s">
        <v>1100</v>
      </c>
      <c r="C570" s="6" t="s">
        <v>1922</v>
      </c>
      <c r="D570" s="6" t="s">
        <v>1788</v>
      </c>
      <c r="E570" s="6" t="s">
        <v>1605</v>
      </c>
      <c r="F570" s="6" t="s">
        <v>1606</v>
      </c>
      <c r="G570" s="6" t="s">
        <v>1607</v>
      </c>
      <c r="H570" s="6"/>
      <c r="I570" s="6" t="n">
        <v>2</v>
      </c>
    </row>
    <row r="571" customFormat="false" ht="23.25" hidden="false" customHeight="true" outlineLevel="0" collapsed="false">
      <c r="A571" s="6" t="s">
        <v>1603</v>
      </c>
      <c r="B571" s="6" t="s">
        <v>1100</v>
      </c>
      <c r="C571" s="6" t="s">
        <v>1923</v>
      </c>
      <c r="D571" s="6" t="s">
        <v>1788</v>
      </c>
      <c r="E571" s="6" t="s">
        <v>1605</v>
      </c>
      <c r="F571" s="6" t="s">
        <v>1606</v>
      </c>
      <c r="G571" s="6" t="s">
        <v>1607</v>
      </c>
      <c r="H571" s="6"/>
      <c r="I571" s="6" t="n">
        <v>2</v>
      </c>
    </row>
    <row r="572" customFormat="false" ht="23.25" hidden="false" customHeight="true" outlineLevel="0" collapsed="false">
      <c r="A572" s="6" t="s">
        <v>1603</v>
      </c>
      <c r="B572" s="6" t="s">
        <v>1100</v>
      </c>
      <c r="C572" s="6" t="s">
        <v>1924</v>
      </c>
      <c r="D572" s="6" t="s">
        <v>1788</v>
      </c>
      <c r="E572" s="6" t="s">
        <v>1605</v>
      </c>
      <c r="F572" s="6" t="s">
        <v>1606</v>
      </c>
      <c r="G572" s="6" t="s">
        <v>1607</v>
      </c>
      <c r="H572" s="6"/>
      <c r="I572" s="6" t="n">
        <v>2</v>
      </c>
    </row>
    <row r="573" customFormat="false" ht="23.25" hidden="false" customHeight="true" outlineLevel="0" collapsed="false">
      <c r="A573" s="6" t="s">
        <v>1603</v>
      </c>
      <c r="B573" s="6" t="s">
        <v>1100</v>
      </c>
      <c r="C573" s="6" t="s">
        <v>1925</v>
      </c>
      <c r="D573" s="6" t="s">
        <v>1788</v>
      </c>
      <c r="E573" s="6" t="s">
        <v>1605</v>
      </c>
      <c r="F573" s="6" t="s">
        <v>1606</v>
      </c>
      <c r="G573" s="6" t="s">
        <v>1607</v>
      </c>
      <c r="H573" s="6"/>
      <c r="I573" s="6" t="n">
        <v>2</v>
      </c>
    </row>
    <row r="574" customFormat="false" ht="23.25" hidden="false" customHeight="true" outlineLevel="0" collapsed="false">
      <c r="A574" s="6" t="s">
        <v>1603</v>
      </c>
      <c r="B574" s="6" t="s">
        <v>1100</v>
      </c>
      <c r="C574" s="6" t="s">
        <v>1926</v>
      </c>
      <c r="D574" s="6" t="s">
        <v>1788</v>
      </c>
      <c r="E574" s="6" t="s">
        <v>1605</v>
      </c>
      <c r="F574" s="6" t="s">
        <v>1606</v>
      </c>
      <c r="G574" s="6" t="s">
        <v>1607</v>
      </c>
      <c r="H574" s="6"/>
      <c r="I574" s="6" t="n">
        <v>2</v>
      </c>
    </row>
    <row r="575" customFormat="false" ht="23.25" hidden="false" customHeight="true" outlineLevel="0" collapsed="false">
      <c r="A575" s="6" t="s">
        <v>1603</v>
      </c>
      <c r="B575" s="6" t="s">
        <v>1100</v>
      </c>
      <c r="C575" s="6" t="s">
        <v>1927</v>
      </c>
      <c r="D575" s="6" t="s">
        <v>1788</v>
      </c>
      <c r="E575" s="6" t="s">
        <v>1605</v>
      </c>
      <c r="F575" s="6" t="s">
        <v>1606</v>
      </c>
      <c r="G575" s="6" t="s">
        <v>1607</v>
      </c>
      <c r="H575" s="6"/>
      <c r="I575" s="6" t="n">
        <v>2</v>
      </c>
    </row>
    <row r="576" customFormat="false" ht="23.25" hidden="false" customHeight="true" outlineLevel="0" collapsed="false">
      <c r="A576" s="6" t="s">
        <v>1603</v>
      </c>
      <c r="B576" s="6" t="s">
        <v>1102</v>
      </c>
      <c r="C576" s="6" t="s">
        <v>1103</v>
      </c>
      <c r="D576" s="6" t="s">
        <v>1788</v>
      </c>
      <c r="E576" s="6" t="s">
        <v>1605</v>
      </c>
      <c r="F576" s="6" t="s">
        <v>1606</v>
      </c>
      <c r="G576" s="6" t="s">
        <v>1607</v>
      </c>
      <c r="H576" s="6"/>
      <c r="I576" s="6" t="n">
        <v>29</v>
      </c>
    </row>
    <row r="577" customFormat="false" ht="23.25" hidden="false" customHeight="true" outlineLevel="0" collapsed="false">
      <c r="A577" s="6" t="s">
        <v>1603</v>
      </c>
      <c r="B577" s="6" t="s">
        <v>1104</v>
      </c>
      <c r="C577" s="6" t="s">
        <v>1105</v>
      </c>
      <c r="D577" s="6" t="s">
        <v>1788</v>
      </c>
      <c r="E577" s="6" t="s">
        <v>1605</v>
      </c>
      <c r="F577" s="6" t="s">
        <v>1606</v>
      </c>
      <c r="G577" s="6" t="s">
        <v>1607</v>
      </c>
      <c r="H577" s="6"/>
      <c r="I577" s="6" t="n">
        <v>535</v>
      </c>
    </row>
    <row r="578" customFormat="false" ht="23.25" hidden="false" customHeight="true" outlineLevel="0" collapsed="false">
      <c r="A578" s="6" t="s">
        <v>1603</v>
      </c>
      <c r="B578" s="6" t="s">
        <v>1106</v>
      </c>
      <c r="C578" s="6" t="s">
        <v>1107</v>
      </c>
      <c r="D578" s="6" t="s">
        <v>1788</v>
      </c>
      <c r="E578" s="6" t="s">
        <v>1605</v>
      </c>
      <c r="F578" s="6" t="s">
        <v>1606</v>
      </c>
      <c r="G578" s="6" t="s">
        <v>1607</v>
      </c>
      <c r="H578" s="6"/>
      <c r="I578" s="6" t="n">
        <v>4</v>
      </c>
    </row>
    <row r="579" customFormat="false" ht="23.25" hidden="false" customHeight="true" outlineLevel="0" collapsed="false">
      <c r="A579" s="6" t="s">
        <v>1603</v>
      </c>
      <c r="B579" s="6" t="s">
        <v>1108</v>
      </c>
      <c r="C579" s="6" t="s">
        <v>1109</v>
      </c>
      <c r="D579" s="6" t="s">
        <v>1788</v>
      </c>
      <c r="E579" s="6" t="s">
        <v>1605</v>
      </c>
      <c r="F579" s="6" t="s">
        <v>1606</v>
      </c>
      <c r="G579" s="6" t="s">
        <v>1607</v>
      </c>
      <c r="H579" s="6"/>
      <c r="I579" s="6" t="n">
        <v>17</v>
      </c>
    </row>
    <row r="580" customFormat="false" ht="23.25" hidden="false" customHeight="true" outlineLevel="0" collapsed="false">
      <c r="A580" s="6" t="s">
        <v>1603</v>
      </c>
      <c r="B580" s="6" t="s">
        <v>1108</v>
      </c>
      <c r="C580" s="6" t="s">
        <v>1928</v>
      </c>
      <c r="D580" s="6" t="s">
        <v>1788</v>
      </c>
      <c r="E580" s="6" t="s">
        <v>1605</v>
      </c>
      <c r="F580" s="6" t="s">
        <v>1606</v>
      </c>
      <c r="G580" s="6" t="s">
        <v>1607</v>
      </c>
      <c r="H580" s="6"/>
      <c r="I580" s="6" t="n">
        <v>16</v>
      </c>
    </row>
    <row r="581" customFormat="false" ht="23.25" hidden="false" customHeight="true" outlineLevel="0" collapsed="false">
      <c r="A581" s="6" t="s">
        <v>1603</v>
      </c>
      <c r="B581" s="6" t="s">
        <v>1108</v>
      </c>
      <c r="C581" s="6" t="s">
        <v>1929</v>
      </c>
      <c r="D581" s="6" t="s">
        <v>1788</v>
      </c>
      <c r="E581" s="6" t="s">
        <v>1605</v>
      </c>
      <c r="F581" s="6" t="s">
        <v>1606</v>
      </c>
      <c r="G581" s="6" t="s">
        <v>1607</v>
      </c>
      <c r="H581" s="6"/>
      <c r="I581" s="6" t="n">
        <v>14</v>
      </c>
    </row>
    <row r="582" customFormat="false" ht="23.25" hidden="false" customHeight="true" outlineLevel="0" collapsed="false">
      <c r="A582" s="6" t="s">
        <v>1603</v>
      </c>
      <c r="B582" s="6" t="s">
        <v>1108</v>
      </c>
      <c r="C582" s="6" t="s">
        <v>1930</v>
      </c>
      <c r="D582" s="6" t="s">
        <v>1788</v>
      </c>
      <c r="E582" s="6" t="s">
        <v>1605</v>
      </c>
      <c r="F582" s="6" t="s">
        <v>1606</v>
      </c>
      <c r="G582" s="6" t="s">
        <v>1607</v>
      </c>
      <c r="H582" s="6"/>
      <c r="I582" s="6" t="n">
        <v>21</v>
      </c>
    </row>
    <row r="583" customFormat="false" ht="23.25" hidden="false" customHeight="true" outlineLevel="0" collapsed="false">
      <c r="A583" s="6" t="s">
        <v>1603</v>
      </c>
      <c r="B583" s="6" t="s">
        <v>1110</v>
      </c>
      <c r="C583" s="6" t="s">
        <v>1111</v>
      </c>
      <c r="D583" s="6" t="s">
        <v>1788</v>
      </c>
      <c r="E583" s="6" t="s">
        <v>1605</v>
      </c>
      <c r="F583" s="6" t="s">
        <v>1606</v>
      </c>
      <c r="G583" s="6" t="s">
        <v>1607</v>
      </c>
      <c r="H583" s="6"/>
      <c r="I583" s="6" t="n">
        <v>3</v>
      </c>
    </row>
    <row r="584" customFormat="false" ht="23.25" hidden="false" customHeight="true" outlineLevel="0" collapsed="false">
      <c r="A584" s="6" t="s">
        <v>1603</v>
      </c>
      <c r="B584" s="6" t="s">
        <v>1110</v>
      </c>
      <c r="C584" s="6" t="s">
        <v>1931</v>
      </c>
      <c r="D584" s="6" t="s">
        <v>1788</v>
      </c>
      <c r="E584" s="6" t="s">
        <v>1605</v>
      </c>
      <c r="F584" s="6" t="s">
        <v>1606</v>
      </c>
      <c r="G584" s="6" t="s">
        <v>1607</v>
      </c>
      <c r="H584" s="6"/>
      <c r="I584" s="6" t="n">
        <v>3</v>
      </c>
    </row>
    <row r="585" customFormat="false" ht="23.25" hidden="false" customHeight="true" outlineLevel="0" collapsed="false">
      <c r="A585" s="6" t="s">
        <v>1603</v>
      </c>
      <c r="B585" s="6" t="s">
        <v>1110</v>
      </c>
      <c r="C585" s="6" t="s">
        <v>1932</v>
      </c>
      <c r="D585" s="6" t="s">
        <v>1788</v>
      </c>
      <c r="E585" s="6" t="s">
        <v>1605</v>
      </c>
      <c r="F585" s="6" t="s">
        <v>1606</v>
      </c>
      <c r="G585" s="6" t="s">
        <v>1607</v>
      </c>
      <c r="H585" s="6"/>
      <c r="I585" s="6" t="n">
        <v>3</v>
      </c>
    </row>
    <row r="586" customFormat="false" ht="23.25" hidden="false" customHeight="true" outlineLevel="0" collapsed="false">
      <c r="A586" s="6" t="s">
        <v>1603</v>
      </c>
      <c r="B586" s="6" t="s">
        <v>1110</v>
      </c>
      <c r="C586" s="6" t="s">
        <v>1933</v>
      </c>
      <c r="D586" s="6" t="s">
        <v>1788</v>
      </c>
      <c r="E586" s="6" t="s">
        <v>1605</v>
      </c>
      <c r="F586" s="6" t="s">
        <v>1606</v>
      </c>
      <c r="G586" s="6" t="s">
        <v>1607</v>
      </c>
      <c r="H586" s="6"/>
      <c r="I586" s="6" t="n">
        <v>3</v>
      </c>
    </row>
    <row r="587" customFormat="false" ht="23.25" hidden="false" customHeight="true" outlineLevel="0" collapsed="false">
      <c r="A587" s="6" t="s">
        <v>1603</v>
      </c>
      <c r="B587" s="6" t="s">
        <v>1110</v>
      </c>
      <c r="C587" s="6" t="s">
        <v>1934</v>
      </c>
      <c r="D587" s="6" t="s">
        <v>1788</v>
      </c>
      <c r="E587" s="6" t="s">
        <v>1605</v>
      </c>
      <c r="F587" s="6" t="s">
        <v>1606</v>
      </c>
      <c r="G587" s="6" t="s">
        <v>1607</v>
      </c>
      <c r="H587" s="6"/>
      <c r="I587" s="6" t="n">
        <v>3</v>
      </c>
    </row>
    <row r="588" customFormat="false" ht="23.25" hidden="false" customHeight="true" outlineLevel="0" collapsed="false">
      <c r="A588" s="6" t="s">
        <v>1603</v>
      </c>
      <c r="B588" s="6" t="s">
        <v>1110</v>
      </c>
      <c r="C588" s="6" t="s">
        <v>1935</v>
      </c>
      <c r="D588" s="6" t="s">
        <v>1788</v>
      </c>
      <c r="E588" s="6" t="s">
        <v>1605</v>
      </c>
      <c r="F588" s="6" t="s">
        <v>1606</v>
      </c>
      <c r="G588" s="6" t="s">
        <v>1607</v>
      </c>
      <c r="H588" s="6"/>
      <c r="I588" s="6" t="n">
        <v>3</v>
      </c>
    </row>
    <row r="589" customFormat="false" ht="23.25" hidden="false" customHeight="true" outlineLevel="0" collapsed="false">
      <c r="A589" s="6" t="s">
        <v>1603</v>
      </c>
      <c r="B589" s="6" t="s">
        <v>1110</v>
      </c>
      <c r="C589" s="6" t="s">
        <v>1936</v>
      </c>
      <c r="D589" s="6" t="s">
        <v>1788</v>
      </c>
      <c r="E589" s="6" t="s">
        <v>1605</v>
      </c>
      <c r="F589" s="6" t="s">
        <v>1606</v>
      </c>
      <c r="G589" s="6" t="s">
        <v>1607</v>
      </c>
      <c r="H589" s="6"/>
      <c r="I589" s="6" t="n">
        <v>3</v>
      </c>
    </row>
    <row r="590" customFormat="false" ht="23.25" hidden="false" customHeight="true" outlineLevel="0" collapsed="false">
      <c r="A590" s="6" t="s">
        <v>1603</v>
      </c>
      <c r="B590" s="6" t="s">
        <v>1110</v>
      </c>
      <c r="C590" s="6" t="s">
        <v>1937</v>
      </c>
      <c r="D590" s="6" t="s">
        <v>1788</v>
      </c>
      <c r="E590" s="6" t="s">
        <v>1605</v>
      </c>
      <c r="F590" s="6" t="s">
        <v>1606</v>
      </c>
      <c r="G590" s="6" t="s">
        <v>1607</v>
      </c>
      <c r="H590" s="6"/>
      <c r="I590" s="6" t="n">
        <v>3</v>
      </c>
    </row>
    <row r="591" customFormat="false" ht="23.25" hidden="false" customHeight="true" outlineLevel="0" collapsed="false">
      <c r="A591" s="6" t="s">
        <v>1603</v>
      </c>
      <c r="B591" s="6" t="s">
        <v>1110</v>
      </c>
      <c r="C591" s="6" t="s">
        <v>1938</v>
      </c>
      <c r="D591" s="6" t="s">
        <v>1788</v>
      </c>
      <c r="E591" s="6" t="s">
        <v>1605</v>
      </c>
      <c r="F591" s="6" t="s">
        <v>1606</v>
      </c>
      <c r="G591" s="6" t="s">
        <v>1607</v>
      </c>
      <c r="H591" s="6"/>
      <c r="I591" s="6" t="n">
        <v>2</v>
      </c>
    </row>
    <row r="592" customFormat="false" ht="23.25" hidden="false" customHeight="true" outlineLevel="0" collapsed="false">
      <c r="A592" s="6" t="s">
        <v>1603</v>
      </c>
      <c r="B592" s="6" t="s">
        <v>1110</v>
      </c>
      <c r="C592" s="6" t="s">
        <v>1939</v>
      </c>
      <c r="D592" s="6" t="s">
        <v>1788</v>
      </c>
      <c r="E592" s="6" t="s">
        <v>1605</v>
      </c>
      <c r="F592" s="6" t="s">
        <v>1606</v>
      </c>
      <c r="G592" s="6" t="s">
        <v>1607</v>
      </c>
      <c r="H592" s="6"/>
      <c r="I592" s="6" t="n">
        <v>6</v>
      </c>
    </row>
    <row r="593" customFormat="false" ht="23.25" hidden="false" customHeight="true" outlineLevel="0" collapsed="false">
      <c r="A593" s="6" t="s">
        <v>1603</v>
      </c>
      <c r="B593" s="6" t="s">
        <v>1110</v>
      </c>
      <c r="C593" s="6" t="s">
        <v>1940</v>
      </c>
      <c r="D593" s="6" t="s">
        <v>1788</v>
      </c>
      <c r="E593" s="6" t="s">
        <v>1605</v>
      </c>
      <c r="F593" s="6" t="s">
        <v>1606</v>
      </c>
      <c r="G593" s="6" t="s">
        <v>1607</v>
      </c>
      <c r="H593" s="6"/>
      <c r="I593" s="6" t="n">
        <v>2</v>
      </c>
    </row>
    <row r="594" customFormat="false" ht="23.25" hidden="false" customHeight="true" outlineLevel="0" collapsed="false">
      <c r="A594" s="6" t="s">
        <v>1603</v>
      </c>
      <c r="B594" s="6" t="s">
        <v>1112</v>
      </c>
      <c r="C594" s="6" t="s">
        <v>1113</v>
      </c>
      <c r="D594" s="6" t="s">
        <v>1788</v>
      </c>
      <c r="E594" s="6" t="s">
        <v>1605</v>
      </c>
      <c r="F594" s="6" t="s">
        <v>1606</v>
      </c>
      <c r="G594" s="6" t="s">
        <v>1607</v>
      </c>
      <c r="H594" s="6"/>
      <c r="I594" s="6" t="n">
        <v>2</v>
      </c>
    </row>
    <row r="595" customFormat="false" ht="23.25" hidden="false" customHeight="true" outlineLevel="0" collapsed="false">
      <c r="A595" s="6" t="s">
        <v>1603</v>
      </c>
      <c r="B595" s="6" t="s">
        <v>1114</v>
      </c>
      <c r="C595" s="6" t="s">
        <v>1115</v>
      </c>
      <c r="D595" s="6" t="s">
        <v>1788</v>
      </c>
      <c r="E595" s="6" t="s">
        <v>1605</v>
      </c>
      <c r="F595" s="6" t="s">
        <v>1606</v>
      </c>
      <c r="G595" s="6" t="s">
        <v>1607</v>
      </c>
      <c r="H595" s="6"/>
      <c r="I595" s="6" t="n">
        <v>10</v>
      </c>
    </row>
    <row r="596" customFormat="false" ht="23.25" hidden="false" customHeight="true" outlineLevel="0" collapsed="false">
      <c r="A596" s="6" t="s">
        <v>1603</v>
      </c>
      <c r="B596" s="6" t="s">
        <v>1116</v>
      </c>
      <c r="C596" s="6" t="s">
        <v>1117</v>
      </c>
      <c r="D596" s="6" t="s">
        <v>1788</v>
      </c>
      <c r="E596" s="6" t="s">
        <v>1605</v>
      </c>
      <c r="F596" s="6" t="s">
        <v>1606</v>
      </c>
      <c r="G596" s="6" t="s">
        <v>1632</v>
      </c>
      <c r="H596" s="6" t="s">
        <v>830</v>
      </c>
      <c r="I596" s="6" t="n">
        <v>26</v>
      </c>
    </row>
    <row r="597" customFormat="false" ht="23.25" hidden="false" customHeight="true" outlineLevel="0" collapsed="false">
      <c r="A597" s="6" t="s">
        <v>1603</v>
      </c>
      <c r="B597" s="6" t="s">
        <v>1118</v>
      </c>
      <c r="C597" s="6" t="s">
        <v>1119</v>
      </c>
      <c r="D597" s="6" t="s">
        <v>1788</v>
      </c>
      <c r="E597" s="6" t="s">
        <v>1605</v>
      </c>
      <c r="F597" s="6" t="s">
        <v>1606</v>
      </c>
      <c r="G597" s="6" t="s">
        <v>1607</v>
      </c>
      <c r="H597" s="6"/>
      <c r="I597" s="6" t="n">
        <v>11</v>
      </c>
    </row>
    <row r="598" customFormat="false" ht="23.25" hidden="false" customHeight="true" outlineLevel="0" collapsed="false">
      <c r="A598" s="6" t="s">
        <v>1603</v>
      </c>
      <c r="B598" s="6" t="s">
        <v>1120</v>
      </c>
      <c r="C598" s="6" t="s">
        <v>1941</v>
      </c>
      <c r="D598" s="6" t="s">
        <v>1788</v>
      </c>
      <c r="E598" s="6" t="s">
        <v>1605</v>
      </c>
      <c r="F598" s="6" t="s">
        <v>1606</v>
      </c>
      <c r="G598" s="6" t="s">
        <v>1632</v>
      </c>
      <c r="H598" s="6" t="s">
        <v>1122</v>
      </c>
      <c r="I598" s="6" t="n">
        <v>16</v>
      </c>
    </row>
    <row r="599" customFormat="false" ht="23.25" hidden="false" customHeight="true" outlineLevel="0" collapsed="false">
      <c r="A599" s="6" t="s">
        <v>1603</v>
      </c>
      <c r="B599" s="6" t="s">
        <v>1123</v>
      </c>
      <c r="C599" s="6" t="s">
        <v>1124</v>
      </c>
      <c r="D599" s="6" t="s">
        <v>1788</v>
      </c>
      <c r="E599" s="6" t="s">
        <v>1605</v>
      </c>
      <c r="F599" s="6" t="s">
        <v>1606</v>
      </c>
      <c r="G599" s="6" t="s">
        <v>1632</v>
      </c>
      <c r="H599" s="6" t="s">
        <v>1122</v>
      </c>
      <c r="I599" s="6" t="n">
        <v>13</v>
      </c>
    </row>
    <row r="600" customFormat="false" ht="23.25" hidden="false" customHeight="true" outlineLevel="0" collapsed="false">
      <c r="A600" s="6" t="s">
        <v>1603</v>
      </c>
      <c r="B600" s="6" t="s">
        <v>1125</v>
      </c>
      <c r="C600" s="6" t="s">
        <v>1126</v>
      </c>
      <c r="D600" s="6" t="s">
        <v>1788</v>
      </c>
      <c r="E600" s="6" t="s">
        <v>1605</v>
      </c>
      <c r="F600" s="6" t="s">
        <v>1606</v>
      </c>
      <c r="G600" s="6" t="s">
        <v>1607</v>
      </c>
      <c r="H600" s="6"/>
      <c r="I600" s="6" t="n">
        <v>37</v>
      </c>
    </row>
    <row r="601" customFormat="false" ht="23.25" hidden="false" customHeight="true" outlineLevel="0" collapsed="false">
      <c r="A601" s="6" t="s">
        <v>1603</v>
      </c>
      <c r="B601" s="6" t="s">
        <v>1127</v>
      </c>
      <c r="C601" s="6" t="s">
        <v>1128</v>
      </c>
      <c r="D601" s="6" t="s">
        <v>1788</v>
      </c>
      <c r="E601" s="6" t="s">
        <v>1605</v>
      </c>
      <c r="F601" s="6" t="s">
        <v>1606</v>
      </c>
      <c r="G601" s="6" t="s">
        <v>1607</v>
      </c>
      <c r="H601" s="6"/>
      <c r="I601" s="6" t="n">
        <v>21</v>
      </c>
    </row>
    <row r="602" customFormat="false" ht="23.25" hidden="false" customHeight="true" outlineLevel="0" collapsed="false">
      <c r="A602" s="6" t="s">
        <v>1603</v>
      </c>
      <c r="B602" s="6" t="s">
        <v>1129</v>
      </c>
      <c r="C602" s="6" t="s">
        <v>1130</v>
      </c>
      <c r="D602" s="6" t="s">
        <v>1788</v>
      </c>
      <c r="E602" s="6" t="s">
        <v>1605</v>
      </c>
      <c r="F602" s="6" t="s">
        <v>1606</v>
      </c>
      <c r="G602" s="6" t="s">
        <v>1607</v>
      </c>
      <c r="H602" s="6"/>
      <c r="I602" s="6" t="n">
        <v>4</v>
      </c>
    </row>
    <row r="603" customFormat="false" ht="23.25" hidden="false" customHeight="true" outlineLevel="0" collapsed="false">
      <c r="A603" s="6" t="s">
        <v>1603</v>
      </c>
      <c r="B603" s="6" t="s">
        <v>1131</v>
      </c>
      <c r="C603" s="6" t="s">
        <v>1132</v>
      </c>
      <c r="D603" s="6" t="s">
        <v>1788</v>
      </c>
      <c r="E603" s="6" t="s">
        <v>1605</v>
      </c>
      <c r="F603" s="6" t="s">
        <v>1606</v>
      </c>
      <c r="G603" s="6" t="s">
        <v>1607</v>
      </c>
      <c r="H603" s="6"/>
      <c r="I603" s="6" t="n">
        <v>4</v>
      </c>
    </row>
    <row r="604" customFormat="false" ht="23.25" hidden="false" customHeight="true" outlineLevel="0" collapsed="false">
      <c r="A604" s="6" t="s">
        <v>1603</v>
      </c>
      <c r="B604" s="6" t="s">
        <v>1133</v>
      </c>
      <c r="C604" s="6" t="s">
        <v>1134</v>
      </c>
      <c r="D604" s="6" t="s">
        <v>1788</v>
      </c>
      <c r="E604" s="6" t="s">
        <v>1605</v>
      </c>
      <c r="F604" s="6" t="s">
        <v>1606</v>
      </c>
      <c r="G604" s="6" t="s">
        <v>1607</v>
      </c>
      <c r="H604" s="6"/>
      <c r="I604" s="6" t="n">
        <v>520</v>
      </c>
    </row>
    <row r="605" customFormat="false" ht="23.25" hidden="false" customHeight="true" outlineLevel="0" collapsed="false">
      <c r="A605" s="6" t="s">
        <v>1603</v>
      </c>
      <c r="B605" s="6" t="s">
        <v>1135</v>
      </c>
      <c r="C605" s="6" t="s">
        <v>1136</v>
      </c>
      <c r="D605" s="6" t="s">
        <v>1788</v>
      </c>
      <c r="E605" s="6" t="s">
        <v>1605</v>
      </c>
      <c r="F605" s="6" t="s">
        <v>1606</v>
      </c>
      <c r="G605" s="6" t="s">
        <v>1607</v>
      </c>
      <c r="H605" s="6"/>
      <c r="I605" s="6" t="n">
        <v>11</v>
      </c>
    </row>
    <row r="606" customFormat="false" ht="23.25" hidden="false" customHeight="true" outlineLevel="0" collapsed="false">
      <c r="A606" s="6" t="s">
        <v>1603</v>
      </c>
      <c r="B606" s="6" t="s">
        <v>1135</v>
      </c>
      <c r="C606" s="6" t="s">
        <v>1942</v>
      </c>
      <c r="D606" s="6" t="s">
        <v>1788</v>
      </c>
      <c r="E606" s="6" t="s">
        <v>1605</v>
      </c>
      <c r="F606" s="6" t="s">
        <v>1606</v>
      </c>
      <c r="G606" s="6" t="s">
        <v>1607</v>
      </c>
      <c r="H606" s="6"/>
      <c r="I606" s="6" t="n">
        <v>7</v>
      </c>
    </row>
    <row r="607" customFormat="false" ht="23.25" hidden="false" customHeight="true" outlineLevel="0" collapsed="false">
      <c r="A607" s="6" t="s">
        <v>1603</v>
      </c>
      <c r="B607" s="6" t="s">
        <v>1135</v>
      </c>
      <c r="C607" s="6" t="s">
        <v>1943</v>
      </c>
      <c r="D607" s="6" t="s">
        <v>1788</v>
      </c>
      <c r="E607" s="6" t="s">
        <v>1605</v>
      </c>
      <c r="F607" s="6" t="s">
        <v>1606</v>
      </c>
      <c r="G607" s="6" t="s">
        <v>1607</v>
      </c>
      <c r="H607" s="6"/>
      <c r="I607" s="6" t="n">
        <v>2</v>
      </c>
    </row>
    <row r="608" customFormat="false" ht="23.25" hidden="false" customHeight="true" outlineLevel="0" collapsed="false">
      <c r="A608" s="6" t="s">
        <v>1603</v>
      </c>
      <c r="B608" s="6" t="s">
        <v>1135</v>
      </c>
      <c r="C608" s="6" t="s">
        <v>1944</v>
      </c>
      <c r="D608" s="6" t="s">
        <v>1788</v>
      </c>
      <c r="E608" s="6" t="s">
        <v>1605</v>
      </c>
      <c r="F608" s="6" t="s">
        <v>1606</v>
      </c>
      <c r="G608" s="6" t="s">
        <v>1607</v>
      </c>
      <c r="H608" s="6"/>
      <c r="I608" s="6" t="n">
        <v>2</v>
      </c>
    </row>
    <row r="609" customFormat="false" ht="23.25" hidden="false" customHeight="true" outlineLevel="0" collapsed="false">
      <c r="A609" s="6" t="s">
        <v>1603</v>
      </c>
      <c r="B609" s="6" t="s">
        <v>1135</v>
      </c>
      <c r="C609" s="6" t="s">
        <v>1945</v>
      </c>
      <c r="D609" s="6" t="s">
        <v>1788</v>
      </c>
      <c r="E609" s="6" t="s">
        <v>1605</v>
      </c>
      <c r="F609" s="6" t="s">
        <v>1606</v>
      </c>
      <c r="G609" s="6" t="s">
        <v>1607</v>
      </c>
      <c r="H609" s="6"/>
      <c r="I609" s="6" t="n">
        <v>3</v>
      </c>
    </row>
    <row r="610" customFormat="false" ht="23.25" hidden="false" customHeight="true" outlineLevel="0" collapsed="false">
      <c r="A610" s="6" t="s">
        <v>1603</v>
      </c>
      <c r="B610" s="6" t="s">
        <v>1137</v>
      </c>
      <c r="C610" s="6" t="s">
        <v>1138</v>
      </c>
      <c r="D610" s="6" t="s">
        <v>1788</v>
      </c>
      <c r="E610" s="6" t="s">
        <v>1605</v>
      </c>
      <c r="F610" s="6" t="s">
        <v>1606</v>
      </c>
      <c r="G610" s="6" t="s">
        <v>1607</v>
      </c>
      <c r="H610" s="6"/>
      <c r="I610" s="6" t="n">
        <v>8</v>
      </c>
    </row>
    <row r="611" customFormat="false" ht="23.25" hidden="false" customHeight="true" outlineLevel="0" collapsed="false">
      <c r="A611" s="6" t="s">
        <v>1603</v>
      </c>
      <c r="B611" s="6" t="s">
        <v>1206</v>
      </c>
      <c r="C611" s="6" t="s">
        <v>1207</v>
      </c>
      <c r="D611" s="6" t="s">
        <v>1788</v>
      </c>
      <c r="E611" s="6" t="s">
        <v>1605</v>
      </c>
      <c r="F611" s="6" t="s">
        <v>1606</v>
      </c>
      <c r="G611" s="6" t="s">
        <v>1607</v>
      </c>
      <c r="H611" s="6"/>
      <c r="I611" s="6" t="n">
        <v>2</v>
      </c>
    </row>
    <row r="612" customFormat="false" ht="23.25" hidden="false" customHeight="true" outlineLevel="0" collapsed="false">
      <c r="A612" s="6" t="s">
        <v>1603</v>
      </c>
      <c r="B612" s="6" t="s">
        <v>1209</v>
      </c>
      <c r="C612" s="6" t="s">
        <v>1210</v>
      </c>
      <c r="D612" s="6" t="s">
        <v>1788</v>
      </c>
      <c r="E612" s="6" t="s">
        <v>1605</v>
      </c>
      <c r="F612" s="6" t="s">
        <v>1606</v>
      </c>
      <c r="G612" s="6" t="s">
        <v>1607</v>
      </c>
      <c r="H612" s="6"/>
      <c r="I612" s="6" t="n">
        <v>9</v>
      </c>
    </row>
    <row r="613" customFormat="false" ht="23.25" hidden="false" customHeight="true" outlineLevel="0" collapsed="false">
      <c r="A613" s="6" t="s">
        <v>1603</v>
      </c>
      <c r="B613" s="6" t="s">
        <v>1211</v>
      </c>
      <c r="C613" s="6" t="s">
        <v>1212</v>
      </c>
      <c r="D613" s="6" t="s">
        <v>1788</v>
      </c>
      <c r="E613" s="6" t="s">
        <v>1605</v>
      </c>
      <c r="F613" s="6" t="s">
        <v>1606</v>
      </c>
      <c r="G613" s="6" t="s">
        <v>1607</v>
      </c>
      <c r="H613" s="6"/>
      <c r="I613" s="6" t="n">
        <v>19</v>
      </c>
    </row>
    <row r="614" customFormat="false" ht="23.25" hidden="false" customHeight="true" outlineLevel="0" collapsed="false">
      <c r="A614" s="6" t="s">
        <v>1603</v>
      </c>
      <c r="B614" s="6" t="s">
        <v>1213</v>
      </c>
      <c r="C614" s="6" t="s">
        <v>1214</v>
      </c>
      <c r="D614" s="6" t="s">
        <v>1788</v>
      </c>
      <c r="E614" s="6" t="s">
        <v>1605</v>
      </c>
      <c r="F614" s="6" t="s">
        <v>1606</v>
      </c>
      <c r="G614" s="6" t="s">
        <v>1607</v>
      </c>
      <c r="H614" s="6"/>
      <c r="I614" s="6" t="n">
        <v>34</v>
      </c>
    </row>
    <row r="615" customFormat="false" ht="23.25" hidden="false" customHeight="true" outlineLevel="0" collapsed="false">
      <c r="A615" s="6" t="s">
        <v>1603</v>
      </c>
      <c r="B615" s="6" t="s">
        <v>1215</v>
      </c>
      <c r="C615" s="6" t="s">
        <v>1216</v>
      </c>
      <c r="D615" s="6" t="s">
        <v>1788</v>
      </c>
      <c r="E615" s="6" t="s">
        <v>1605</v>
      </c>
      <c r="F615" s="6" t="s">
        <v>1606</v>
      </c>
      <c r="G615" s="6" t="s">
        <v>1607</v>
      </c>
      <c r="H615" s="6"/>
      <c r="I615" s="6" t="n">
        <v>8</v>
      </c>
    </row>
    <row r="616" customFormat="false" ht="23.25" hidden="false" customHeight="true" outlineLevel="0" collapsed="false">
      <c r="A616" s="6" t="s">
        <v>1603</v>
      </c>
      <c r="B616" s="6" t="s">
        <v>1217</v>
      </c>
      <c r="C616" s="6" t="s">
        <v>1218</v>
      </c>
      <c r="D616" s="6" t="s">
        <v>1788</v>
      </c>
      <c r="E616" s="6" t="s">
        <v>1605</v>
      </c>
      <c r="F616" s="6" t="s">
        <v>1606</v>
      </c>
      <c r="G616" s="6" t="s">
        <v>1607</v>
      </c>
      <c r="H616" s="6"/>
      <c r="I616" s="6" t="n">
        <v>11</v>
      </c>
    </row>
    <row r="617" customFormat="false" ht="23.25" hidden="false" customHeight="true" outlineLevel="0" collapsed="false">
      <c r="A617" s="6" t="s">
        <v>1603</v>
      </c>
      <c r="B617" s="6" t="s">
        <v>1217</v>
      </c>
      <c r="C617" s="6" t="s">
        <v>1946</v>
      </c>
      <c r="D617" s="6" t="s">
        <v>1788</v>
      </c>
      <c r="E617" s="6" t="s">
        <v>1605</v>
      </c>
      <c r="F617" s="6" t="s">
        <v>1606</v>
      </c>
      <c r="G617" s="6" t="s">
        <v>1607</v>
      </c>
      <c r="H617" s="6"/>
      <c r="I617" s="6" t="n">
        <v>5</v>
      </c>
    </row>
    <row r="618" customFormat="false" ht="23.25" hidden="false" customHeight="true" outlineLevel="0" collapsed="false">
      <c r="A618" s="6" t="s">
        <v>1603</v>
      </c>
      <c r="B618" s="6" t="s">
        <v>1217</v>
      </c>
      <c r="C618" s="6" t="s">
        <v>1947</v>
      </c>
      <c r="D618" s="6" t="s">
        <v>1788</v>
      </c>
      <c r="E618" s="6" t="s">
        <v>1605</v>
      </c>
      <c r="F618" s="6" t="s">
        <v>1606</v>
      </c>
      <c r="G618" s="6" t="s">
        <v>1607</v>
      </c>
      <c r="H618" s="6"/>
      <c r="I618" s="6" t="n">
        <v>8</v>
      </c>
    </row>
    <row r="619" customFormat="false" ht="23.25" hidden="false" customHeight="true" outlineLevel="0" collapsed="false">
      <c r="A619" s="6" t="s">
        <v>1603</v>
      </c>
      <c r="B619" s="6" t="s">
        <v>1217</v>
      </c>
      <c r="C619" s="6" t="s">
        <v>1948</v>
      </c>
      <c r="D619" s="6" t="s">
        <v>1788</v>
      </c>
      <c r="E619" s="6" t="s">
        <v>1605</v>
      </c>
      <c r="F619" s="6" t="s">
        <v>1606</v>
      </c>
      <c r="G619" s="6" t="s">
        <v>1607</v>
      </c>
      <c r="H619" s="6"/>
      <c r="I619" s="6" t="n">
        <v>8</v>
      </c>
    </row>
    <row r="620" customFormat="false" ht="23.25" hidden="false" customHeight="true" outlineLevel="0" collapsed="false">
      <c r="A620" s="6" t="s">
        <v>1603</v>
      </c>
      <c r="B620" s="6" t="s">
        <v>1217</v>
      </c>
      <c r="C620" s="6" t="s">
        <v>1949</v>
      </c>
      <c r="D620" s="6" t="s">
        <v>1788</v>
      </c>
      <c r="E620" s="6" t="s">
        <v>1605</v>
      </c>
      <c r="F620" s="6" t="s">
        <v>1606</v>
      </c>
      <c r="G620" s="6" t="s">
        <v>1607</v>
      </c>
      <c r="H620" s="6"/>
      <c r="I620" s="6" t="n">
        <v>6</v>
      </c>
    </row>
    <row r="621" customFormat="false" ht="23.25" hidden="false" customHeight="true" outlineLevel="0" collapsed="false">
      <c r="A621" s="6" t="s">
        <v>1603</v>
      </c>
      <c r="B621" s="6" t="s">
        <v>1217</v>
      </c>
      <c r="C621" s="6" t="s">
        <v>1950</v>
      </c>
      <c r="D621" s="6" t="s">
        <v>1788</v>
      </c>
      <c r="E621" s="6" t="s">
        <v>1605</v>
      </c>
      <c r="F621" s="6" t="s">
        <v>1606</v>
      </c>
      <c r="G621" s="6" t="s">
        <v>1607</v>
      </c>
      <c r="H621" s="6"/>
      <c r="I621" s="6" t="n">
        <v>6</v>
      </c>
    </row>
    <row r="622" customFormat="false" ht="23.25" hidden="false" customHeight="true" outlineLevel="0" collapsed="false">
      <c r="A622" s="6" t="s">
        <v>1603</v>
      </c>
      <c r="B622" s="6" t="s">
        <v>1217</v>
      </c>
      <c r="C622" s="6" t="s">
        <v>1951</v>
      </c>
      <c r="D622" s="6" t="s">
        <v>1788</v>
      </c>
      <c r="E622" s="6" t="s">
        <v>1605</v>
      </c>
      <c r="F622" s="6" t="s">
        <v>1606</v>
      </c>
      <c r="G622" s="6" t="s">
        <v>1607</v>
      </c>
      <c r="H622" s="6"/>
      <c r="I622" s="6" t="n">
        <v>5</v>
      </c>
    </row>
    <row r="623" customFormat="false" ht="23.25" hidden="false" customHeight="true" outlineLevel="0" collapsed="false">
      <c r="A623" s="6" t="s">
        <v>1603</v>
      </c>
      <c r="B623" s="6" t="s">
        <v>1219</v>
      </c>
      <c r="C623" s="6" t="s">
        <v>1220</v>
      </c>
      <c r="D623" s="6" t="s">
        <v>1788</v>
      </c>
      <c r="E623" s="6" t="s">
        <v>1605</v>
      </c>
      <c r="F623" s="6" t="s">
        <v>1606</v>
      </c>
      <c r="G623" s="6" t="s">
        <v>1607</v>
      </c>
      <c r="H623" s="6"/>
      <c r="I623" s="6" t="n">
        <v>14</v>
      </c>
    </row>
    <row r="624" customFormat="false" ht="23.25" hidden="false" customHeight="true" outlineLevel="0" collapsed="false">
      <c r="A624" s="6" t="s">
        <v>1603</v>
      </c>
      <c r="B624" s="6" t="s">
        <v>1221</v>
      </c>
      <c r="C624" s="6" t="s">
        <v>1222</v>
      </c>
      <c r="D624" s="6" t="s">
        <v>1788</v>
      </c>
      <c r="E624" s="6" t="s">
        <v>1605</v>
      </c>
      <c r="F624" s="6" t="s">
        <v>1606</v>
      </c>
      <c r="G624" s="6" t="s">
        <v>1607</v>
      </c>
      <c r="H624" s="6"/>
      <c r="I624" s="6" t="n">
        <v>12</v>
      </c>
    </row>
    <row r="625" customFormat="false" ht="23.25" hidden="false" customHeight="true" outlineLevel="0" collapsed="false">
      <c r="A625" s="6" t="s">
        <v>1603</v>
      </c>
      <c r="B625" s="6" t="s">
        <v>1223</v>
      </c>
      <c r="C625" s="6" t="s">
        <v>1224</v>
      </c>
      <c r="D625" s="6" t="s">
        <v>1788</v>
      </c>
      <c r="E625" s="6" t="s">
        <v>1605</v>
      </c>
      <c r="F625" s="6" t="s">
        <v>1606</v>
      </c>
      <c r="G625" s="6" t="s">
        <v>1607</v>
      </c>
      <c r="H625" s="6"/>
      <c r="I625" s="6" t="n">
        <v>8</v>
      </c>
    </row>
    <row r="626" customFormat="false" ht="23.25" hidden="false" customHeight="true" outlineLevel="0" collapsed="false">
      <c r="A626" s="6" t="s">
        <v>1603</v>
      </c>
      <c r="B626" s="6" t="s">
        <v>1223</v>
      </c>
      <c r="C626" s="6" t="s">
        <v>1952</v>
      </c>
      <c r="D626" s="6" t="s">
        <v>1788</v>
      </c>
      <c r="E626" s="6" t="s">
        <v>1605</v>
      </c>
      <c r="F626" s="6" t="s">
        <v>1606</v>
      </c>
      <c r="G626" s="6" t="s">
        <v>1607</v>
      </c>
      <c r="H626" s="6"/>
      <c r="I626" s="6" t="n">
        <v>13</v>
      </c>
    </row>
    <row r="627" customFormat="false" ht="23.25" hidden="false" customHeight="true" outlineLevel="0" collapsed="false">
      <c r="A627" s="6" t="s">
        <v>1603</v>
      </c>
      <c r="B627" s="6" t="s">
        <v>1223</v>
      </c>
      <c r="C627" s="6" t="s">
        <v>1953</v>
      </c>
      <c r="D627" s="6" t="s">
        <v>1788</v>
      </c>
      <c r="E627" s="6" t="s">
        <v>1605</v>
      </c>
      <c r="F627" s="6" t="s">
        <v>1606</v>
      </c>
      <c r="G627" s="6" t="s">
        <v>1607</v>
      </c>
      <c r="H627" s="6"/>
      <c r="I627" s="6" t="n">
        <v>12</v>
      </c>
    </row>
    <row r="628" customFormat="false" ht="23.25" hidden="false" customHeight="true" outlineLevel="0" collapsed="false">
      <c r="A628" s="6" t="s">
        <v>1603</v>
      </c>
      <c r="B628" s="6" t="s">
        <v>1223</v>
      </c>
      <c r="C628" s="6" t="s">
        <v>1954</v>
      </c>
      <c r="D628" s="6" t="s">
        <v>1788</v>
      </c>
      <c r="E628" s="6" t="s">
        <v>1605</v>
      </c>
      <c r="F628" s="6" t="s">
        <v>1606</v>
      </c>
      <c r="G628" s="6" t="s">
        <v>1607</v>
      </c>
      <c r="H628" s="6"/>
      <c r="I628" s="6" t="n">
        <v>12</v>
      </c>
    </row>
    <row r="629" customFormat="false" ht="23.25" hidden="false" customHeight="true" outlineLevel="0" collapsed="false">
      <c r="A629" s="6" t="s">
        <v>1603</v>
      </c>
      <c r="B629" s="6" t="s">
        <v>1223</v>
      </c>
      <c r="C629" s="6" t="s">
        <v>1955</v>
      </c>
      <c r="D629" s="6" t="s">
        <v>1788</v>
      </c>
      <c r="E629" s="6" t="s">
        <v>1605</v>
      </c>
      <c r="F629" s="6" t="s">
        <v>1606</v>
      </c>
      <c r="G629" s="6" t="s">
        <v>1607</v>
      </c>
      <c r="H629" s="6"/>
      <c r="I629" s="6" t="n">
        <v>12</v>
      </c>
    </row>
    <row r="630" customFormat="false" ht="23.25" hidden="false" customHeight="true" outlineLevel="0" collapsed="false">
      <c r="A630" s="6" t="s">
        <v>1603</v>
      </c>
      <c r="B630" s="6" t="s">
        <v>1225</v>
      </c>
      <c r="C630" s="6" t="s">
        <v>1226</v>
      </c>
      <c r="D630" s="6" t="s">
        <v>1788</v>
      </c>
      <c r="E630" s="6" t="s">
        <v>1605</v>
      </c>
      <c r="F630" s="6" t="s">
        <v>1606</v>
      </c>
      <c r="G630" s="6" t="s">
        <v>1632</v>
      </c>
      <c r="H630" s="6" t="s">
        <v>1227</v>
      </c>
      <c r="I630" s="6" t="n">
        <v>18</v>
      </c>
    </row>
    <row r="631" customFormat="false" ht="23.25" hidden="false" customHeight="true" outlineLevel="0" collapsed="false">
      <c r="A631" s="6" t="s">
        <v>1603</v>
      </c>
      <c r="B631" s="6" t="s">
        <v>1228</v>
      </c>
      <c r="C631" s="6" t="s">
        <v>1229</v>
      </c>
      <c r="D631" s="6" t="s">
        <v>1788</v>
      </c>
      <c r="E631" s="6" t="s">
        <v>1605</v>
      </c>
      <c r="F631" s="6" t="s">
        <v>1606</v>
      </c>
      <c r="G631" s="6" t="s">
        <v>1607</v>
      </c>
      <c r="H631" s="6"/>
      <c r="I631" s="6" t="n">
        <v>536</v>
      </c>
    </row>
    <row r="632" customFormat="false" ht="23.25" hidden="false" customHeight="true" outlineLevel="0" collapsed="false">
      <c r="A632" s="6" t="s">
        <v>1603</v>
      </c>
      <c r="B632" s="6" t="s">
        <v>1230</v>
      </c>
      <c r="C632" s="6" t="s">
        <v>1231</v>
      </c>
      <c r="D632" s="6" t="s">
        <v>1788</v>
      </c>
      <c r="E632" s="6" t="s">
        <v>1605</v>
      </c>
      <c r="F632" s="6" t="s">
        <v>1606</v>
      </c>
      <c r="G632" s="6" t="s">
        <v>1607</v>
      </c>
      <c r="H632" s="6"/>
      <c r="I632" s="6" t="n">
        <v>13</v>
      </c>
    </row>
    <row r="633" customFormat="false" ht="23.25" hidden="false" customHeight="true" outlineLevel="0" collapsed="false">
      <c r="A633" s="6" t="s">
        <v>1603</v>
      </c>
      <c r="B633" s="6" t="s">
        <v>1232</v>
      </c>
      <c r="C633" s="6" t="s">
        <v>1233</v>
      </c>
      <c r="D633" s="6" t="s">
        <v>1788</v>
      </c>
      <c r="E633" s="6" t="s">
        <v>1605</v>
      </c>
      <c r="F633" s="6" t="s">
        <v>1606</v>
      </c>
      <c r="G633" s="6" t="s">
        <v>1607</v>
      </c>
      <c r="H633" s="6"/>
      <c r="I633" s="6" t="n">
        <v>29</v>
      </c>
    </row>
    <row r="634" customFormat="false" ht="23.25" hidden="false" customHeight="true" outlineLevel="0" collapsed="false">
      <c r="A634" s="6" t="s">
        <v>1603</v>
      </c>
      <c r="B634" s="6" t="s">
        <v>1234</v>
      </c>
      <c r="C634" s="6" t="s">
        <v>1235</v>
      </c>
      <c r="D634" s="6" t="s">
        <v>1788</v>
      </c>
      <c r="E634" s="6" t="s">
        <v>1605</v>
      </c>
      <c r="F634" s="6" t="s">
        <v>1606</v>
      </c>
      <c r="G634" s="6" t="s">
        <v>1607</v>
      </c>
      <c r="H634" s="6"/>
      <c r="I634" s="6" t="n">
        <v>17</v>
      </c>
    </row>
    <row r="635" customFormat="false" ht="23.25" hidden="false" customHeight="true" outlineLevel="0" collapsed="false">
      <c r="A635" s="6" t="s">
        <v>1603</v>
      </c>
      <c r="B635" s="6" t="s">
        <v>1236</v>
      </c>
      <c r="C635" s="6" t="s">
        <v>1237</v>
      </c>
      <c r="D635" s="6" t="s">
        <v>1788</v>
      </c>
      <c r="E635" s="6" t="s">
        <v>1605</v>
      </c>
      <c r="F635" s="6" t="s">
        <v>1606</v>
      </c>
      <c r="G635" s="6" t="s">
        <v>1632</v>
      </c>
      <c r="H635" s="6" t="s">
        <v>1238</v>
      </c>
      <c r="I635" s="6" t="n">
        <v>9</v>
      </c>
    </row>
    <row r="636" customFormat="false" ht="23.25" hidden="false" customHeight="true" outlineLevel="0" collapsed="false">
      <c r="A636" s="6" t="s">
        <v>1603</v>
      </c>
      <c r="B636" s="6" t="s">
        <v>1239</v>
      </c>
      <c r="C636" s="6" t="s">
        <v>1240</v>
      </c>
      <c r="D636" s="6" t="s">
        <v>1788</v>
      </c>
      <c r="E636" s="6" t="s">
        <v>1605</v>
      </c>
      <c r="F636" s="6" t="s">
        <v>1606</v>
      </c>
      <c r="G636" s="6" t="s">
        <v>1632</v>
      </c>
      <c r="H636" s="6" t="s">
        <v>1238</v>
      </c>
      <c r="I636" s="6" t="n">
        <v>18</v>
      </c>
    </row>
    <row r="637" customFormat="false" ht="23.25" hidden="false" customHeight="true" outlineLevel="0" collapsed="false">
      <c r="A637" s="6" t="s">
        <v>1603</v>
      </c>
      <c r="B637" s="6" t="s">
        <v>566</v>
      </c>
      <c r="C637" s="6" t="s">
        <v>1241</v>
      </c>
      <c r="D637" s="6" t="s">
        <v>1788</v>
      </c>
      <c r="E637" s="6" t="s">
        <v>1605</v>
      </c>
      <c r="F637" s="6" t="s">
        <v>1606</v>
      </c>
      <c r="G637" s="6" t="s">
        <v>1607</v>
      </c>
      <c r="H637" s="6"/>
      <c r="I637" s="6" t="n">
        <v>23</v>
      </c>
    </row>
    <row r="638" customFormat="false" ht="23.25" hidden="false" customHeight="true" outlineLevel="0" collapsed="false">
      <c r="A638" s="6" t="s">
        <v>1603</v>
      </c>
      <c r="B638" s="6" t="s">
        <v>1242</v>
      </c>
      <c r="C638" s="6" t="s">
        <v>1243</v>
      </c>
      <c r="D638" s="6" t="s">
        <v>1788</v>
      </c>
      <c r="E638" s="6" t="s">
        <v>1605</v>
      </c>
      <c r="F638" s="6" t="s">
        <v>1606</v>
      </c>
      <c r="G638" s="6" t="s">
        <v>1607</v>
      </c>
      <c r="H638" s="6"/>
      <c r="I638" s="6" t="n">
        <v>23</v>
      </c>
    </row>
    <row r="639" customFormat="false" ht="23.25" hidden="false" customHeight="true" outlineLevel="0" collapsed="false">
      <c r="A639" s="6" t="s">
        <v>1603</v>
      </c>
      <c r="B639" s="6" t="s">
        <v>1242</v>
      </c>
      <c r="C639" s="6" t="s">
        <v>1956</v>
      </c>
      <c r="D639" s="6" t="s">
        <v>1788</v>
      </c>
      <c r="E639" s="6" t="s">
        <v>1605</v>
      </c>
      <c r="F639" s="6" t="s">
        <v>1606</v>
      </c>
      <c r="G639" s="6" t="s">
        <v>1607</v>
      </c>
      <c r="H639" s="6"/>
      <c r="I639" s="6" t="n">
        <v>16</v>
      </c>
    </row>
    <row r="640" customFormat="false" ht="23.25" hidden="false" customHeight="true" outlineLevel="0" collapsed="false">
      <c r="A640" s="6" t="s">
        <v>1603</v>
      </c>
      <c r="B640" s="6" t="s">
        <v>1242</v>
      </c>
      <c r="C640" s="6" t="s">
        <v>1957</v>
      </c>
      <c r="D640" s="6" t="s">
        <v>1788</v>
      </c>
      <c r="E640" s="6" t="s">
        <v>1605</v>
      </c>
      <c r="F640" s="6" t="s">
        <v>1606</v>
      </c>
      <c r="G640" s="6" t="s">
        <v>1607</v>
      </c>
      <c r="H640" s="6"/>
      <c r="I640" s="6" t="n">
        <v>20</v>
      </c>
    </row>
    <row r="641" customFormat="false" ht="23.25" hidden="false" customHeight="true" outlineLevel="0" collapsed="false">
      <c r="A641" s="6" t="s">
        <v>1603</v>
      </c>
      <c r="B641" s="6" t="s">
        <v>1242</v>
      </c>
      <c r="C641" s="6" t="s">
        <v>1958</v>
      </c>
      <c r="D641" s="6" t="s">
        <v>1788</v>
      </c>
      <c r="E641" s="6" t="s">
        <v>1605</v>
      </c>
      <c r="F641" s="6" t="s">
        <v>1606</v>
      </c>
      <c r="G641" s="6" t="s">
        <v>1607</v>
      </c>
      <c r="H641" s="6"/>
      <c r="I641" s="6" t="n">
        <v>21</v>
      </c>
    </row>
    <row r="642" customFormat="false" ht="23.25" hidden="false" customHeight="true" outlineLevel="0" collapsed="false">
      <c r="A642" s="6" t="s">
        <v>1603</v>
      </c>
      <c r="B642" s="6" t="s">
        <v>1242</v>
      </c>
      <c r="C642" s="6" t="s">
        <v>1959</v>
      </c>
      <c r="D642" s="6" t="s">
        <v>1788</v>
      </c>
      <c r="E642" s="6" t="s">
        <v>1605</v>
      </c>
      <c r="F642" s="6" t="s">
        <v>1606</v>
      </c>
      <c r="G642" s="6" t="s">
        <v>1607</v>
      </c>
      <c r="H642" s="6"/>
      <c r="I642" s="6" t="n">
        <v>19</v>
      </c>
    </row>
    <row r="643" customFormat="false" ht="23.25" hidden="false" customHeight="true" outlineLevel="0" collapsed="false">
      <c r="A643" s="6" t="s">
        <v>1603</v>
      </c>
      <c r="B643" s="6" t="s">
        <v>1242</v>
      </c>
      <c r="C643" s="6" t="s">
        <v>1960</v>
      </c>
      <c r="D643" s="6" t="s">
        <v>1788</v>
      </c>
      <c r="E643" s="6" t="s">
        <v>1605</v>
      </c>
      <c r="F643" s="6" t="s">
        <v>1606</v>
      </c>
      <c r="G643" s="6" t="s">
        <v>1607</v>
      </c>
      <c r="H643" s="6"/>
      <c r="I643" s="6" t="n">
        <v>18</v>
      </c>
    </row>
    <row r="644" customFormat="false" ht="23.25" hidden="false" customHeight="true" outlineLevel="0" collapsed="false">
      <c r="A644" s="6" t="s">
        <v>1603</v>
      </c>
      <c r="B644" s="6" t="s">
        <v>1242</v>
      </c>
      <c r="C644" s="6" t="s">
        <v>1961</v>
      </c>
      <c r="D644" s="6" t="s">
        <v>1788</v>
      </c>
      <c r="E644" s="6" t="s">
        <v>1605</v>
      </c>
      <c r="F644" s="6" t="s">
        <v>1606</v>
      </c>
      <c r="G644" s="6" t="s">
        <v>1607</v>
      </c>
      <c r="H644" s="6"/>
      <c r="I644" s="6" t="n">
        <v>16</v>
      </c>
    </row>
    <row r="645" customFormat="false" ht="23.25" hidden="false" customHeight="true" outlineLevel="0" collapsed="false">
      <c r="A645" s="6" t="s">
        <v>1603</v>
      </c>
      <c r="B645" s="6" t="s">
        <v>1244</v>
      </c>
      <c r="C645" s="6" t="s">
        <v>1245</v>
      </c>
      <c r="D645" s="6" t="s">
        <v>1788</v>
      </c>
      <c r="E645" s="6" t="s">
        <v>1605</v>
      </c>
      <c r="F645" s="6" t="s">
        <v>1606</v>
      </c>
      <c r="G645" s="6" t="s">
        <v>1607</v>
      </c>
      <c r="H645" s="6"/>
      <c r="I645" s="6" t="n">
        <v>8</v>
      </c>
    </row>
    <row r="646" customFormat="false" ht="23.25" hidden="false" customHeight="true" outlineLevel="0" collapsed="false">
      <c r="A646" s="6" t="s">
        <v>1603</v>
      </c>
      <c r="B646" s="6" t="s">
        <v>1244</v>
      </c>
      <c r="C646" s="6" t="s">
        <v>1962</v>
      </c>
      <c r="D646" s="6" t="s">
        <v>1788</v>
      </c>
      <c r="E646" s="6" t="s">
        <v>1605</v>
      </c>
      <c r="F646" s="6" t="s">
        <v>1606</v>
      </c>
      <c r="G646" s="6" t="s">
        <v>1607</v>
      </c>
      <c r="H646" s="6"/>
      <c r="I646" s="6" t="n">
        <v>10</v>
      </c>
    </row>
    <row r="647" customFormat="false" ht="23.25" hidden="false" customHeight="true" outlineLevel="0" collapsed="false">
      <c r="A647" s="6" t="s">
        <v>1603</v>
      </c>
      <c r="B647" s="6" t="s">
        <v>1244</v>
      </c>
      <c r="C647" s="6" t="s">
        <v>1963</v>
      </c>
      <c r="D647" s="6" t="s">
        <v>1788</v>
      </c>
      <c r="E647" s="6" t="s">
        <v>1605</v>
      </c>
      <c r="F647" s="6" t="s">
        <v>1606</v>
      </c>
      <c r="G647" s="6" t="s">
        <v>1607</v>
      </c>
      <c r="H647" s="6"/>
      <c r="I647" s="6" t="n">
        <v>8</v>
      </c>
    </row>
    <row r="648" customFormat="false" ht="23.25" hidden="false" customHeight="true" outlineLevel="0" collapsed="false">
      <c r="A648" s="6" t="s">
        <v>1603</v>
      </c>
      <c r="B648" s="6" t="s">
        <v>1244</v>
      </c>
      <c r="C648" s="6" t="s">
        <v>1964</v>
      </c>
      <c r="D648" s="6" t="s">
        <v>1788</v>
      </c>
      <c r="E648" s="6" t="s">
        <v>1605</v>
      </c>
      <c r="F648" s="6" t="s">
        <v>1606</v>
      </c>
      <c r="G648" s="6" t="s">
        <v>1607</v>
      </c>
      <c r="H648" s="6"/>
      <c r="I648" s="6" t="n">
        <v>7</v>
      </c>
    </row>
    <row r="649" customFormat="false" ht="23.25" hidden="false" customHeight="true" outlineLevel="0" collapsed="false">
      <c r="A649" s="6" t="s">
        <v>1603</v>
      </c>
      <c r="B649" s="6" t="s">
        <v>1246</v>
      </c>
      <c r="C649" s="6" t="s">
        <v>1247</v>
      </c>
      <c r="D649" s="6" t="s">
        <v>1788</v>
      </c>
      <c r="E649" s="6" t="s">
        <v>1605</v>
      </c>
      <c r="F649" s="6" t="s">
        <v>1606</v>
      </c>
      <c r="G649" s="6" t="s">
        <v>1632</v>
      </c>
      <c r="H649" s="6" t="s">
        <v>830</v>
      </c>
      <c r="I649" s="6" t="n">
        <v>14</v>
      </c>
    </row>
    <row r="650" customFormat="false" ht="23.25" hidden="false" customHeight="true" outlineLevel="0" collapsed="false">
      <c r="A650" s="6" t="s">
        <v>1603</v>
      </c>
      <c r="B650" s="6" t="s">
        <v>1248</v>
      </c>
      <c r="C650" s="6" t="s">
        <v>1249</v>
      </c>
      <c r="D650" s="6" t="s">
        <v>1788</v>
      </c>
      <c r="E650" s="6" t="s">
        <v>1605</v>
      </c>
      <c r="F650" s="6" t="s">
        <v>1606</v>
      </c>
      <c r="G650" s="6" t="s">
        <v>1607</v>
      </c>
      <c r="H650" s="6"/>
      <c r="I650" s="6" t="n">
        <v>32</v>
      </c>
    </row>
    <row r="651" customFormat="false" ht="23.25" hidden="false" customHeight="true" outlineLevel="0" collapsed="false">
      <c r="A651" s="6" t="s">
        <v>1603</v>
      </c>
      <c r="B651" s="6" t="s">
        <v>1250</v>
      </c>
      <c r="C651" s="6" t="s">
        <v>1251</v>
      </c>
      <c r="D651" s="6" t="s">
        <v>1788</v>
      </c>
      <c r="E651" s="6" t="s">
        <v>1605</v>
      </c>
      <c r="F651" s="6" t="s">
        <v>1606</v>
      </c>
      <c r="G651" s="6" t="s">
        <v>1607</v>
      </c>
      <c r="H651" s="6"/>
      <c r="I651" s="6" t="n">
        <v>27</v>
      </c>
    </row>
    <row r="652" customFormat="false" ht="23.25" hidden="false" customHeight="true" outlineLevel="0" collapsed="false">
      <c r="A652" s="6" t="s">
        <v>1603</v>
      </c>
      <c r="B652" s="6" t="s">
        <v>1252</v>
      </c>
      <c r="C652" s="6" t="s">
        <v>1253</v>
      </c>
      <c r="D652" s="6" t="s">
        <v>1788</v>
      </c>
      <c r="E652" s="6" t="s">
        <v>1605</v>
      </c>
      <c r="F652" s="6" t="s">
        <v>1606</v>
      </c>
      <c r="G652" s="6" t="s">
        <v>1607</v>
      </c>
      <c r="H652" s="6"/>
      <c r="I652" s="6" t="n">
        <v>28</v>
      </c>
    </row>
    <row r="653" customFormat="false" ht="23.25" hidden="false" customHeight="true" outlineLevel="0" collapsed="false">
      <c r="A653" s="6" t="s">
        <v>1603</v>
      </c>
      <c r="B653" s="6" t="s">
        <v>1254</v>
      </c>
      <c r="C653" s="6" t="s">
        <v>1255</v>
      </c>
      <c r="D653" s="6" t="s">
        <v>1788</v>
      </c>
      <c r="E653" s="6" t="s">
        <v>1605</v>
      </c>
      <c r="F653" s="6" t="s">
        <v>1606</v>
      </c>
      <c r="G653" s="6" t="s">
        <v>1607</v>
      </c>
      <c r="H653" s="6"/>
      <c r="I653" s="6" t="n">
        <v>14</v>
      </c>
    </row>
    <row r="654" customFormat="false" ht="23.25" hidden="false" customHeight="true" outlineLevel="0" collapsed="false">
      <c r="A654" s="6" t="s">
        <v>1603</v>
      </c>
      <c r="B654" s="6" t="s">
        <v>1256</v>
      </c>
      <c r="C654" s="6" t="s">
        <v>1257</v>
      </c>
      <c r="D654" s="6" t="s">
        <v>1788</v>
      </c>
      <c r="E654" s="6" t="s">
        <v>1605</v>
      </c>
      <c r="F654" s="6" t="s">
        <v>1606</v>
      </c>
      <c r="G654" s="6" t="s">
        <v>1607</v>
      </c>
      <c r="H654" s="6"/>
      <c r="I654" s="6" t="n">
        <v>7</v>
      </c>
    </row>
    <row r="655" customFormat="false" ht="23.25" hidden="false" customHeight="true" outlineLevel="0" collapsed="false">
      <c r="A655" s="6" t="s">
        <v>1603</v>
      </c>
      <c r="B655" s="6" t="s">
        <v>1256</v>
      </c>
      <c r="C655" s="6" t="s">
        <v>1965</v>
      </c>
      <c r="D655" s="6" t="s">
        <v>1788</v>
      </c>
      <c r="E655" s="6" t="s">
        <v>1605</v>
      </c>
      <c r="F655" s="6" t="s">
        <v>1606</v>
      </c>
      <c r="G655" s="6" t="s">
        <v>1607</v>
      </c>
      <c r="H655" s="6"/>
      <c r="I655" s="6" t="n">
        <v>6</v>
      </c>
    </row>
    <row r="656" customFormat="false" ht="23.25" hidden="false" customHeight="true" outlineLevel="0" collapsed="false">
      <c r="A656" s="6" t="s">
        <v>1603</v>
      </c>
      <c r="B656" s="6" t="s">
        <v>1256</v>
      </c>
      <c r="C656" s="6" t="s">
        <v>1966</v>
      </c>
      <c r="D656" s="6" t="s">
        <v>1788</v>
      </c>
      <c r="E656" s="6" t="s">
        <v>1605</v>
      </c>
      <c r="F656" s="6" t="s">
        <v>1606</v>
      </c>
      <c r="G656" s="6" t="s">
        <v>1607</v>
      </c>
      <c r="H656" s="6"/>
      <c r="I656" s="6" t="n">
        <v>7</v>
      </c>
    </row>
    <row r="657" customFormat="false" ht="23.25" hidden="false" customHeight="true" outlineLevel="0" collapsed="false">
      <c r="A657" s="6" t="s">
        <v>1603</v>
      </c>
      <c r="B657" s="6" t="s">
        <v>1256</v>
      </c>
      <c r="C657" s="6" t="s">
        <v>1967</v>
      </c>
      <c r="D657" s="6" t="s">
        <v>1788</v>
      </c>
      <c r="E657" s="6" t="s">
        <v>1605</v>
      </c>
      <c r="F657" s="6" t="s">
        <v>1606</v>
      </c>
      <c r="G657" s="6" t="s">
        <v>1607</v>
      </c>
      <c r="H657" s="6"/>
      <c r="I657" s="6" t="n">
        <v>7</v>
      </c>
    </row>
    <row r="658" customFormat="false" ht="23.25" hidden="false" customHeight="true" outlineLevel="0" collapsed="false">
      <c r="A658" s="6" t="s">
        <v>1603</v>
      </c>
      <c r="B658" s="6" t="s">
        <v>1256</v>
      </c>
      <c r="C658" s="6" t="s">
        <v>1968</v>
      </c>
      <c r="D658" s="6" t="s">
        <v>1788</v>
      </c>
      <c r="E658" s="6" t="s">
        <v>1605</v>
      </c>
      <c r="F658" s="6" t="s">
        <v>1606</v>
      </c>
      <c r="G658" s="6" t="s">
        <v>1607</v>
      </c>
      <c r="H658" s="6"/>
      <c r="I658" s="6" t="n">
        <v>12</v>
      </c>
    </row>
    <row r="659" customFormat="false" ht="23.25" hidden="false" customHeight="true" outlineLevel="0" collapsed="false">
      <c r="A659" s="6" t="s">
        <v>1603</v>
      </c>
      <c r="B659" s="6" t="s">
        <v>1256</v>
      </c>
      <c r="C659" s="6" t="s">
        <v>1969</v>
      </c>
      <c r="D659" s="6" t="s">
        <v>1788</v>
      </c>
      <c r="E659" s="6" t="s">
        <v>1605</v>
      </c>
      <c r="F659" s="6" t="s">
        <v>1606</v>
      </c>
      <c r="G659" s="6" t="s">
        <v>1607</v>
      </c>
      <c r="H659" s="6"/>
      <c r="I659" s="6" t="n">
        <v>6</v>
      </c>
    </row>
    <row r="660" customFormat="false" ht="23.25" hidden="false" customHeight="true" outlineLevel="0" collapsed="false">
      <c r="A660" s="6" t="s">
        <v>1603</v>
      </c>
      <c r="B660" s="6" t="s">
        <v>1256</v>
      </c>
      <c r="C660" s="6" t="s">
        <v>1970</v>
      </c>
      <c r="D660" s="6" t="s">
        <v>1788</v>
      </c>
      <c r="E660" s="6" t="s">
        <v>1605</v>
      </c>
      <c r="F660" s="6" t="s">
        <v>1606</v>
      </c>
      <c r="G660" s="6" t="s">
        <v>1607</v>
      </c>
      <c r="H660" s="6"/>
      <c r="I660" s="6" t="n">
        <v>6</v>
      </c>
    </row>
    <row r="661" customFormat="false" ht="23.25" hidden="false" customHeight="true" outlineLevel="0" collapsed="false">
      <c r="A661" s="6" t="s">
        <v>1603</v>
      </c>
      <c r="B661" s="6" t="s">
        <v>1256</v>
      </c>
      <c r="C661" s="6" t="s">
        <v>1971</v>
      </c>
      <c r="D661" s="6" t="s">
        <v>1788</v>
      </c>
      <c r="E661" s="6" t="s">
        <v>1605</v>
      </c>
      <c r="F661" s="6" t="s">
        <v>1606</v>
      </c>
      <c r="G661" s="6" t="s">
        <v>1607</v>
      </c>
      <c r="H661" s="6"/>
      <c r="I661" s="6" t="n">
        <v>6</v>
      </c>
    </row>
    <row r="662" customFormat="false" ht="23.25" hidden="false" customHeight="true" outlineLevel="0" collapsed="false">
      <c r="A662" s="6" t="s">
        <v>1603</v>
      </c>
      <c r="B662" s="6" t="s">
        <v>1256</v>
      </c>
      <c r="C662" s="6" t="s">
        <v>1972</v>
      </c>
      <c r="D662" s="6" t="s">
        <v>1788</v>
      </c>
      <c r="E662" s="6" t="s">
        <v>1605</v>
      </c>
      <c r="F662" s="6" t="s">
        <v>1606</v>
      </c>
      <c r="G662" s="6" t="s">
        <v>1607</v>
      </c>
      <c r="H662" s="6"/>
      <c r="I662" s="6" t="n">
        <v>7</v>
      </c>
    </row>
    <row r="663" customFormat="false" ht="23.25" hidden="false" customHeight="true" outlineLevel="0" collapsed="false">
      <c r="A663" s="6" t="s">
        <v>1603</v>
      </c>
      <c r="B663" s="6" t="s">
        <v>1256</v>
      </c>
      <c r="C663" s="6" t="s">
        <v>1973</v>
      </c>
      <c r="D663" s="6" t="s">
        <v>1788</v>
      </c>
      <c r="E663" s="6" t="s">
        <v>1605</v>
      </c>
      <c r="F663" s="6" t="s">
        <v>1606</v>
      </c>
      <c r="G663" s="6" t="s">
        <v>1607</v>
      </c>
      <c r="H663" s="6"/>
      <c r="I663" s="6" t="n">
        <v>6</v>
      </c>
    </row>
    <row r="664" customFormat="false" ht="23.25" hidden="false" customHeight="true" outlineLevel="0" collapsed="false">
      <c r="A664" s="6" t="s">
        <v>1603</v>
      </c>
      <c r="B664" s="6" t="s">
        <v>1256</v>
      </c>
      <c r="C664" s="6" t="s">
        <v>1974</v>
      </c>
      <c r="D664" s="6" t="s">
        <v>1788</v>
      </c>
      <c r="E664" s="6" t="s">
        <v>1605</v>
      </c>
      <c r="F664" s="6" t="s">
        <v>1606</v>
      </c>
      <c r="G664" s="6" t="s">
        <v>1607</v>
      </c>
      <c r="H664" s="6"/>
      <c r="I664" s="6" t="n">
        <v>6</v>
      </c>
    </row>
    <row r="665" customFormat="false" ht="23.25" hidden="false" customHeight="true" outlineLevel="0" collapsed="false">
      <c r="A665" s="6" t="s">
        <v>1603</v>
      </c>
      <c r="B665" s="6" t="s">
        <v>1258</v>
      </c>
      <c r="C665" s="6" t="s">
        <v>1259</v>
      </c>
      <c r="D665" s="6" t="s">
        <v>1788</v>
      </c>
      <c r="E665" s="6" t="s">
        <v>1605</v>
      </c>
      <c r="F665" s="6" t="s">
        <v>1606</v>
      </c>
      <c r="G665" s="6" t="s">
        <v>1607</v>
      </c>
      <c r="H665" s="6"/>
      <c r="I665" s="6" t="n">
        <v>19</v>
      </c>
    </row>
    <row r="666" customFormat="false" ht="23.25" hidden="false" customHeight="true" outlineLevel="0" collapsed="false">
      <c r="A666" s="6" t="s">
        <v>1603</v>
      </c>
      <c r="B666" s="6" t="s">
        <v>1260</v>
      </c>
      <c r="C666" s="6" t="s">
        <v>1261</v>
      </c>
      <c r="D666" s="6" t="s">
        <v>1788</v>
      </c>
      <c r="E666" s="6" t="s">
        <v>1605</v>
      </c>
      <c r="F666" s="6" t="s">
        <v>1606</v>
      </c>
      <c r="G666" s="6" t="s">
        <v>1607</v>
      </c>
      <c r="H666" s="6"/>
      <c r="I666" s="6" t="n">
        <v>123</v>
      </c>
    </row>
    <row r="667" customFormat="false" ht="23.25" hidden="false" customHeight="true" outlineLevel="0" collapsed="false">
      <c r="A667" s="6" t="s">
        <v>1603</v>
      </c>
      <c r="B667" s="6" t="s">
        <v>1262</v>
      </c>
      <c r="C667" s="6" t="s">
        <v>1263</v>
      </c>
      <c r="D667" s="6" t="s">
        <v>1788</v>
      </c>
      <c r="E667" s="6" t="s">
        <v>1605</v>
      </c>
      <c r="F667" s="6" t="s">
        <v>1606</v>
      </c>
      <c r="G667" s="6" t="s">
        <v>1632</v>
      </c>
      <c r="H667" s="6" t="s">
        <v>1264</v>
      </c>
      <c r="I667" s="6" t="n">
        <v>22</v>
      </c>
    </row>
    <row r="668" customFormat="false" ht="23.25" hidden="false" customHeight="true" outlineLevel="0" collapsed="false">
      <c r="A668" s="6" t="s">
        <v>1603</v>
      </c>
      <c r="B668" s="6" t="s">
        <v>1265</v>
      </c>
      <c r="C668" s="6" t="s">
        <v>1266</v>
      </c>
      <c r="D668" s="6" t="s">
        <v>1788</v>
      </c>
      <c r="E668" s="6" t="s">
        <v>1605</v>
      </c>
      <c r="F668" s="6" t="s">
        <v>1606</v>
      </c>
      <c r="G668" s="6" t="s">
        <v>1607</v>
      </c>
      <c r="H668" s="6"/>
      <c r="I668" s="6" t="n">
        <v>15</v>
      </c>
    </row>
    <row r="669" customFormat="false" ht="23.25" hidden="false" customHeight="true" outlineLevel="0" collapsed="false">
      <c r="A669" s="6" t="s">
        <v>1603</v>
      </c>
      <c r="B669" s="6" t="s">
        <v>1267</v>
      </c>
      <c r="C669" s="6" t="s">
        <v>1268</v>
      </c>
      <c r="D669" s="6" t="s">
        <v>1788</v>
      </c>
      <c r="E669" s="6" t="s">
        <v>1605</v>
      </c>
      <c r="F669" s="6" t="s">
        <v>1606</v>
      </c>
      <c r="G669" s="6" t="s">
        <v>1607</v>
      </c>
      <c r="H669" s="6"/>
      <c r="I669" s="6" t="n">
        <v>7</v>
      </c>
    </row>
    <row r="670" customFormat="false" ht="23.25" hidden="false" customHeight="true" outlineLevel="0" collapsed="false">
      <c r="A670" s="6" t="s">
        <v>1603</v>
      </c>
      <c r="B670" s="6" t="s">
        <v>1309</v>
      </c>
      <c r="C670" s="6" t="s">
        <v>1310</v>
      </c>
      <c r="D670" s="6" t="s">
        <v>1788</v>
      </c>
      <c r="E670" s="6" t="s">
        <v>1605</v>
      </c>
      <c r="F670" s="6" t="s">
        <v>1606</v>
      </c>
      <c r="G670" s="6" t="s">
        <v>1607</v>
      </c>
      <c r="H670" s="6"/>
      <c r="I670" s="6" t="n">
        <v>8</v>
      </c>
    </row>
    <row r="671" customFormat="false" ht="23.25" hidden="false" customHeight="true" outlineLevel="0" collapsed="false">
      <c r="A671" s="6" t="s">
        <v>1603</v>
      </c>
      <c r="B671" s="6" t="s">
        <v>1312</v>
      </c>
      <c r="C671" s="6" t="s">
        <v>1313</v>
      </c>
      <c r="D671" s="6" t="s">
        <v>1788</v>
      </c>
      <c r="E671" s="6" t="s">
        <v>1605</v>
      </c>
      <c r="F671" s="6" t="s">
        <v>1606</v>
      </c>
      <c r="G671" s="6" t="s">
        <v>1607</v>
      </c>
      <c r="H671" s="6"/>
      <c r="I671" s="6" t="n">
        <v>38</v>
      </c>
    </row>
    <row r="672" customFormat="false" ht="23.25" hidden="false" customHeight="true" outlineLevel="0" collapsed="false">
      <c r="A672" s="6" t="s">
        <v>1603</v>
      </c>
      <c r="B672" s="6" t="s">
        <v>1312</v>
      </c>
      <c r="C672" s="6" t="s">
        <v>1975</v>
      </c>
      <c r="D672" s="6" t="s">
        <v>1788</v>
      </c>
      <c r="E672" s="6" t="s">
        <v>1605</v>
      </c>
      <c r="F672" s="6" t="s">
        <v>1606</v>
      </c>
      <c r="G672" s="6" t="s">
        <v>1607</v>
      </c>
      <c r="H672" s="6"/>
      <c r="I672" s="6" t="n">
        <v>8</v>
      </c>
    </row>
    <row r="673" customFormat="false" ht="23.25" hidden="false" customHeight="true" outlineLevel="0" collapsed="false">
      <c r="A673" s="6" t="s">
        <v>1603</v>
      </c>
      <c r="B673" s="6" t="s">
        <v>1312</v>
      </c>
      <c r="C673" s="6" t="s">
        <v>1976</v>
      </c>
      <c r="D673" s="6" t="s">
        <v>1788</v>
      </c>
      <c r="E673" s="6" t="s">
        <v>1605</v>
      </c>
      <c r="F673" s="6" t="s">
        <v>1606</v>
      </c>
      <c r="G673" s="6" t="s">
        <v>1607</v>
      </c>
      <c r="H673" s="6"/>
      <c r="I673" s="6" t="n">
        <v>8</v>
      </c>
    </row>
    <row r="674" customFormat="false" ht="23.25" hidden="false" customHeight="true" outlineLevel="0" collapsed="false">
      <c r="A674" s="6" t="s">
        <v>1603</v>
      </c>
      <c r="B674" s="6" t="s">
        <v>1312</v>
      </c>
      <c r="C674" s="6" t="s">
        <v>1977</v>
      </c>
      <c r="D674" s="6" t="s">
        <v>1788</v>
      </c>
      <c r="E674" s="6" t="s">
        <v>1605</v>
      </c>
      <c r="F674" s="6" t="s">
        <v>1606</v>
      </c>
      <c r="G674" s="6" t="s">
        <v>1607</v>
      </c>
      <c r="H674" s="6"/>
      <c r="I674" s="6" t="n">
        <v>8</v>
      </c>
    </row>
    <row r="675" customFormat="false" ht="23.25" hidden="false" customHeight="true" outlineLevel="0" collapsed="false">
      <c r="A675" s="6" t="s">
        <v>1603</v>
      </c>
      <c r="B675" s="6" t="s">
        <v>1312</v>
      </c>
      <c r="C675" s="6" t="s">
        <v>1978</v>
      </c>
      <c r="D675" s="6" t="s">
        <v>1788</v>
      </c>
      <c r="E675" s="6" t="s">
        <v>1605</v>
      </c>
      <c r="F675" s="6" t="s">
        <v>1606</v>
      </c>
      <c r="G675" s="6" t="s">
        <v>1607</v>
      </c>
      <c r="H675" s="6"/>
      <c r="I675" s="6" t="n">
        <v>8</v>
      </c>
    </row>
    <row r="676" customFormat="false" ht="23.25" hidden="false" customHeight="true" outlineLevel="0" collapsed="false">
      <c r="A676" s="6" t="s">
        <v>1603</v>
      </c>
      <c r="B676" s="6" t="s">
        <v>1312</v>
      </c>
      <c r="C676" s="6" t="s">
        <v>1979</v>
      </c>
      <c r="D676" s="6" t="s">
        <v>1788</v>
      </c>
      <c r="E676" s="6" t="s">
        <v>1605</v>
      </c>
      <c r="F676" s="6" t="s">
        <v>1606</v>
      </c>
      <c r="G676" s="6" t="s">
        <v>1607</v>
      </c>
      <c r="H676" s="6"/>
      <c r="I676" s="6" t="n">
        <v>7</v>
      </c>
    </row>
    <row r="677" customFormat="false" ht="23.25" hidden="false" customHeight="true" outlineLevel="0" collapsed="false">
      <c r="A677" s="6" t="s">
        <v>1603</v>
      </c>
      <c r="B677" s="6" t="s">
        <v>1312</v>
      </c>
      <c r="C677" s="6" t="s">
        <v>1980</v>
      </c>
      <c r="D677" s="6" t="s">
        <v>1788</v>
      </c>
      <c r="E677" s="6" t="s">
        <v>1605</v>
      </c>
      <c r="F677" s="6" t="s">
        <v>1606</v>
      </c>
      <c r="G677" s="6" t="s">
        <v>1607</v>
      </c>
      <c r="H677" s="6"/>
      <c r="I677" s="6" t="n">
        <v>6</v>
      </c>
    </row>
    <row r="678" customFormat="false" ht="23.25" hidden="false" customHeight="true" outlineLevel="0" collapsed="false">
      <c r="A678" s="6" t="s">
        <v>1603</v>
      </c>
      <c r="B678" s="6" t="s">
        <v>1312</v>
      </c>
      <c r="C678" s="6" t="s">
        <v>1981</v>
      </c>
      <c r="D678" s="6" t="s">
        <v>1788</v>
      </c>
      <c r="E678" s="6" t="s">
        <v>1605</v>
      </c>
      <c r="F678" s="6" t="s">
        <v>1606</v>
      </c>
      <c r="G678" s="6" t="s">
        <v>1607</v>
      </c>
      <c r="H678" s="6"/>
      <c r="I678" s="6" t="n">
        <v>9</v>
      </c>
    </row>
    <row r="679" customFormat="false" ht="23.25" hidden="false" customHeight="true" outlineLevel="0" collapsed="false">
      <c r="A679" s="6" t="s">
        <v>1603</v>
      </c>
      <c r="B679" s="6" t="s">
        <v>1312</v>
      </c>
      <c r="C679" s="6" t="s">
        <v>1982</v>
      </c>
      <c r="D679" s="6" t="s">
        <v>1788</v>
      </c>
      <c r="E679" s="6" t="s">
        <v>1605</v>
      </c>
      <c r="F679" s="6" t="s">
        <v>1606</v>
      </c>
      <c r="G679" s="6" t="s">
        <v>1607</v>
      </c>
      <c r="H679" s="6"/>
      <c r="I679" s="6" t="n">
        <v>7</v>
      </c>
    </row>
    <row r="680" customFormat="false" ht="23.25" hidden="false" customHeight="true" outlineLevel="0" collapsed="false">
      <c r="A680" s="6" t="s">
        <v>1603</v>
      </c>
      <c r="B680" s="6" t="s">
        <v>1312</v>
      </c>
      <c r="C680" s="6" t="s">
        <v>1983</v>
      </c>
      <c r="D680" s="6" t="s">
        <v>1788</v>
      </c>
      <c r="E680" s="6" t="s">
        <v>1605</v>
      </c>
      <c r="F680" s="6" t="s">
        <v>1606</v>
      </c>
      <c r="G680" s="6" t="s">
        <v>1607</v>
      </c>
      <c r="H680" s="6"/>
      <c r="I680" s="6" t="n">
        <v>7</v>
      </c>
    </row>
    <row r="681" customFormat="false" ht="23.25" hidden="false" customHeight="true" outlineLevel="0" collapsed="false">
      <c r="A681" s="6" t="s">
        <v>1603</v>
      </c>
      <c r="B681" s="6" t="s">
        <v>1312</v>
      </c>
      <c r="C681" s="6" t="s">
        <v>1984</v>
      </c>
      <c r="D681" s="6" t="s">
        <v>1788</v>
      </c>
      <c r="E681" s="6" t="s">
        <v>1605</v>
      </c>
      <c r="F681" s="6" t="s">
        <v>1606</v>
      </c>
      <c r="G681" s="6" t="s">
        <v>1607</v>
      </c>
      <c r="H681" s="6"/>
      <c r="I681" s="6" t="n">
        <v>6</v>
      </c>
    </row>
    <row r="682" customFormat="false" ht="23.25" hidden="false" customHeight="true" outlineLevel="0" collapsed="false">
      <c r="A682" s="6" t="s">
        <v>1603</v>
      </c>
      <c r="B682" s="6" t="s">
        <v>1314</v>
      </c>
      <c r="C682" s="6" t="s">
        <v>1315</v>
      </c>
      <c r="D682" s="6" t="s">
        <v>1788</v>
      </c>
      <c r="E682" s="6" t="s">
        <v>1605</v>
      </c>
      <c r="F682" s="6" t="s">
        <v>1606</v>
      </c>
      <c r="G682" s="6" t="s">
        <v>1607</v>
      </c>
      <c r="H682" s="6"/>
      <c r="I682" s="6" t="n">
        <v>3</v>
      </c>
    </row>
    <row r="683" customFormat="false" ht="23.25" hidden="false" customHeight="true" outlineLevel="0" collapsed="false">
      <c r="A683" s="6" t="s">
        <v>1603</v>
      </c>
      <c r="B683" s="6" t="s">
        <v>1314</v>
      </c>
      <c r="C683" s="6" t="s">
        <v>1985</v>
      </c>
      <c r="D683" s="6" t="s">
        <v>1788</v>
      </c>
      <c r="E683" s="6" t="s">
        <v>1605</v>
      </c>
      <c r="F683" s="6" t="s">
        <v>1606</v>
      </c>
      <c r="G683" s="6" t="s">
        <v>1607</v>
      </c>
      <c r="H683" s="6"/>
      <c r="I683" s="6" t="n">
        <v>2</v>
      </c>
    </row>
    <row r="684" customFormat="false" ht="23.25" hidden="false" customHeight="true" outlineLevel="0" collapsed="false">
      <c r="A684" s="6" t="s">
        <v>1603</v>
      </c>
      <c r="B684" s="6" t="s">
        <v>1314</v>
      </c>
      <c r="C684" s="6" t="s">
        <v>1986</v>
      </c>
      <c r="D684" s="6" t="s">
        <v>1788</v>
      </c>
      <c r="E684" s="6" t="s">
        <v>1605</v>
      </c>
      <c r="F684" s="6" t="s">
        <v>1606</v>
      </c>
      <c r="G684" s="6" t="s">
        <v>1607</v>
      </c>
      <c r="H684" s="6"/>
      <c r="I684" s="6" t="n">
        <v>2</v>
      </c>
    </row>
    <row r="685" customFormat="false" ht="23.25" hidden="false" customHeight="true" outlineLevel="0" collapsed="false">
      <c r="A685" s="6" t="s">
        <v>1603</v>
      </c>
      <c r="B685" s="6" t="s">
        <v>1314</v>
      </c>
      <c r="C685" s="6" t="s">
        <v>1987</v>
      </c>
      <c r="D685" s="6" t="s">
        <v>1788</v>
      </c>
      <c r="E685" s="6" t="s">
        <v>1605</v>
      </c>
      <c r="F685" s="6" t="s">
        <v>1606</v>
      </c>
      <c r="G685" s="6" t="s">
        <v>1607</v>
      </c>
      <c r="H685" s="6"/>
      <c r="I685" s="6" t="n">
        <v>2</v>
      </c>
    </row>
    <row r="686" customFormat="false" ht="23.25" hidden="false" customHeight="true" outlineLevel="0" collapsed="false">
      <c r="A686" s="6" t="s">
        <v>1603</v>
      </c>
      <c r="B686" s="6" t="s">
        <v>1314</v>
      </c>
      <c r="C686" s="6" t="s">
        <v>1988</v>
      </c>
      <c r="D686" s="6" t="s">
        <v>1788</v>
      </c>
      <c r="E686" s="6" t="s">
        <v>1605</v>
      </c>
      <c r="F686" s="6" t="s">
        <v>1606</v>
      </c>
      <c r="G686" s="6" t="s">
        <v>1607</v>
      </c>
      <c r="H686" s="6"/>
      <c r="I686" s="6" t="n">
        <v>4</v>
      </c>
    </row>
    <row r="687" customFormat="false" ht="23.25" hidden="false" customHeight="true" outlineLevel="0" collapsed="false">
      <c r="A687" s="6" t="s">
        <v>1603</v>
      </c>
      <c r="B687" s="6" t="s">
        <v>1314</v>
      </c>
      <c r="C687" s="6" t="s">
        <v>1989</v>
      </c>
      <c r="D687" s="6" t="s">
        <v>1788</v>
      </c>
      <c r="E687" s="6" t="s">
        <v>1605</v>
      </c>
      <c r="F687" s="6" t="s">
        <v>1606</v>
      </c>
      <c r="G687" s="6" t="s">
        <v>1607</v>
      </c>
      <c r="H687" s="6"/>
      <c r="I687" s="6" t="n">
        <v>3</v>
      </c>
    </row>
    <row r="688" customFormat="false" ht="23.25" hidden="false" customHeight="true" outlineLevel="0" collapsed="false">
      <c r="A688" s="6" t="s">
        <v>1603</v>
      </c>
      <c r="B688" s="6" t="s">
        <v>1314</v>
      </c>
      <c r="C688" s="6" t="s">
        <v>1990</v>
      </c>
      <c r="D688" s="6" t="s">
        <v>1788</v>
      </c>
      <c r="E688" s="6" t="s">
        <v>1605</v>
      </c>
      <c r="F688" s="6" t="s">
        <v>1606</v>
      </c>
      <c r="G688" s="6" t="s">
        <v>1607</v>
      </c>
      <c r="H688" s="6"/>
      <c r="I688" s="6" t="n">
        <v>2</v>
      </c>
    </row>
    <row r="689" customFormat="false" ht="23.25" hidden="false" customHeight="true" outlineLevel="0" collapsed="false">
      <c r="A689" s="6" t="s">
        <v>1603</v>
      </c>
      <c r="B689" s="6" t="s">
        <v>1314</v>
      </c>
      <c r="C689" s="6" t="s">
        <v>1991</v>
      </c>
      <c r="D689" s="6" t="s">
        <v>1788</v>
      </c>
      <c r="E689" s="6" t="s">
        <v>1605</v>
      </c>
      <c r="F689" s="6" t="s">
        <v>1606</v>
      </c>
      <c r="G689" s="6" t="s">
        <v>1607</v>
      </c>
      <c r="H689" s="6"/>
      <c r="I689" s="6" t="n">
        <v>3</v>
      </c>
    </row>
    <row r="690" customFormat="false" ht="23.25" hidden="false" customHeight="true" outlineLevel="0" collapsed="false">
      <c r="A690" s="6" t="s">
        <v>1603</v>
      </c>
      <c r="B690" s="6" t="s">
        <v>1314</v>
      </c>
      <c r="C690" s="6" t="s">
        <v>1992</v>
      </c>
      <c r="D690" s="6" t="s">
        <v>1788</v>
      </c>
      <c r="E690" s="6" t="s">
        <v>1605</v>
      </c>
      <c r="F690" s="6" t="s">
        <v>1606</v>
      </c>
      <c r="G690" s="6" t="s">
        <v>1607</v>
      </c>
      <c r="H690" s="6"/>
      <c r="I690" s="6" t="n">
        <v>2</v>
      </c>
    </row>
    <row r="691" customFormat="false" ht="23.25" hidden="false" customHeight="true" outlineLevel="0" collapsed="false">
      <c r="A691" s="6" t="s">
        <v>1603</v>
      </c>
      <c r="B691" s="6" t="s">
        <v>1314</v>
      </c>
      <c r="C691" s="6" t="s">
        <v>1993</v>
      </c>
      <c r="D691" s="6" t="s">
        <v>1788</v>
      </c>
      <c r="E691" s="6" t="s">
        <v>1605</v>
      </c>
      <c r="F691" s="6" t="s">
        <v>1606</v>
      </c>
      <c r="G691" s="6" t="s">
        <v>1607</v>
      </c>
      <c r="H691" s="6"/>
      <c r="I691" s="6" t="n">
        <v>2</v>
      </c>
    </row>
    <row r="692" customFormat="false" ht="23.25" hidden="false" customHeight="true" outlineLevel="0" collapsed="false">
      <c r="A692" s="6" t="s">
        <v>1603</v>
      </c>
      <c r="B692" s="6" t="s">
        <v>1314</v>
      </c>
      <c r="C692" s="6" t="s">
        <v>1994</v>
      </c>
      <c r="D692" s="6" t="s">
        <v>1788</v>
      </c>
      <c r="E692" s="6" t="s">
        <v>1605</v>
      </c>
      <c r="F692" s="6" t="s">
        <v>1606</v>
      </c>
      <c r="G692" s="6" t="s">
        <v>1607</v>
      </c>
      <c r="H692" s="6"/>
      <c r="I692" s="6" t="n">
        <v>2</v>
      </c>
    </row>
    <row r="693" customFormat="false" ht="23.25" hidden="false" customHeight="true" outlineLevel="0" collapsed="false">
      <c r="A693" s="6" t="s">
        <v>1603</v>
      </c>
      <c r="B693" s="6" t="s">
        <v>1314</v>
      </c>
      <c r="C693" s="6" t="s">
        <v>1995</v>
      </c>
      <c r="D693" s="6" t="s">
        <v>1788</v>
      </c>
      <c r="E693" s="6" t="s">
        <v>1605</v>
      </c>
      <c r="F693" s="6" t="s">
        <v>1606</v>
      </c>
      <c r="G693" s="6" t="s">
        <v>1607</v>
      </c>
      <c r="H693" s="6"/>
      <c r="I693" s="6" t="n">
        <v>3</v>
      </c>
    </row>
    <row r="694" customFormat="false" ht="23.25" hidden="false" customHeight="true" outlineLevel="0" collapsed="false">
      <c r="A694" s="6" t="s">
        <v>1603</v>
      </c>
      <c r="B694" s="6" t="s">
        <v>1316</v>
      </c>
      <c r="C694" s="6" t="s">
        <v>1317</v>
      </c>
      <c r="D694" s="6" t="s">
        <v>1788</v>
      </c>
      <c r="E694" s="6" t="s">
        <v>1605</v>
      </c>
      <c r="F694" s="6" t="s">
        <v>1606</v>
      </c>
      <c r="G694" s="6" t="s">
        <v>1607</v>
      </c>
      <c r="H694" s="6"/>
      <c r="I694" s="6" t="n">
        <v>519</v>
      </c>
    </row>
    <row r="695" customFormat="false" ht="23.25" hidden="false" customHeight="true" outlineLevel="0" collapsed="false">
      <c r="A695" s="6" t="s">
        <v>1603</v>
      </c>
      <c r="B695" s="6" t="s">
        <v>1318</v>
      </c>
      <c r="C695" s="6" t="s">
        <v>1319</v>
      </c>
      <c r="D695" s="6" t="s">
        <v>1788</v>
      </c>
      <c r="E695" s="6" t="s">
        <v>1605</v>
      </c>
      <c r="F695" s="6" t="s">
        <v>1606</v>
      </c>
      <c r="G695" s="6" t="s">
        <v>1607</v>
      </c>
      <c r="H695" s="6"/>
      <c r="I695" s="6" t="n">
        <v>525</v>
      </c>
    </row>
    <row r="696" customFormat="false" ht="23.25" hidden="false" customHeight="true" outlineLevel="0" collapsed="false">
      <c r="A696" s="6" t="s">
        <v>1603</v>
      </c>
      <c r="B696" s="6" t="s">
        <v>1320</v>
      </c>
      <c r="C696" s="6" t="s">
        <v>1321</v>
      </c>
      <c r="D696" s="6" t="s">
        <v>1788</v>
      </c>
      <c r="E696" s="6" t="s">
        <v>1605</v>
      </c>
      <c r="F696" s="6" t="s">
        <v>1606</v>
      </c>
      <c r="G696" s="6" t="s">
        <v>1607</v>
      </c>
      <c r="H696" s="6"/>
      <c r="I696" s="6" t="n">
        <v>518</v>
      </c>
    </row>
    <row r="697" customFormat="false" ht="23.25" hidden="false" customHeight="true" outlineLevel="0" collapsed="false">
      <c r="A697" s="6" t="s">
        <v>1603</v>
      </c>
      <c r="B697" s="6" t="s">
        <v>1322</v>
      </c>
      <c r="C697" s="6" t="s">
        <v>1323</v>
      </c>
      <c r="D697" s="6" t="s">
        <v>1788</v>
      </c>
      <c r="E697" s="6" t="s">
        <v>1605</v>
      </c>
      <c r="F697" s="6" t="s">
        <v>1606</v>
      </c>
      <c r="G697" s="6" t="s">
        <v>1607</v>
      </c>
      <c r="H697" s="6"/>
      <c r="I697" s="6" t="n">
        <v>46</v>
      </c>
    </row>
    <row r="698" customFormat="false" ht="23.25" hidden="false" customHeight="true" outlineLevel="0" collapsed="false">
      <c r="A698" s="6" t="s">
        <v>1603</v>
      </c>
      <c r="B698" s="6" t="s">
        <v>1324</v>
      </c>
      <c r="C698" s="6" t="s">
        <v>1325</v>
      </c>
      <c r="D698" s="6" t="s">
        <v>1788</v>
      </c>
      <c r="E698" s="6" t="s">
        <v>1605</v>
      </c>
      <c r="F698" s="6" t="s">
        <v>1606</v>
      </c>
      <c r="G698" s="6" t="s">
        <v>1632</v>
      </c>
      <c r="H698" s="6" t="s">
        <v>1326</v>
      </c>
      <c r="I698" s="6" t="n">
        <v>15</v>
      </c>
    </row>
    <row r="699" customFormat="false" ht="23.25" hidden="false" customHeight="true" outlineLevel="0" collapsed="false">
      <c r="A699" s="6" t="s">
        <v>1603</v>
      </c>
      <c r="B699" s="6" t="s">
        <v>713</v>
      </c>
      <c r="C699" s="6" t="s">
        <v>714</v>
      </c>
      <c r="D699" s="6" t="s">
        <v>1788</v>
      </c>
      <c r="E699" s="6" t="s">
        <v>1605</v>
      </c>
      <c r="F699" s="6" t="s">
        <v>1606</v>
      </c>
      <c r="G699" s="6" t="s">
        <v>1607</v>
      </c>
      <c r="H699" s="6"/>
      <c r="I699" s="6" t="n">
        <v>3</v>
      </c>
    </row>
    <row r="700" customFormat="false" ht="23.25" hidden="false" customHeight="true" outlineLevel="0" collapsed="false">
      <c r="A700" s="6" t="s">
        <v>1603</v>
      </c>
      <c r="B700" s="6" t="s">
        <v>716</v>
      </c>
      <c r="C700" s="6" t="s">
        <v>717</v>
      </c>
      <c r="D700" s="6" t="s">
        <v>1788</v>
      </c>
      <c r="E700" s="6" t="s">
        <v>1605</v>
      </c>
      <c r="F700" s="6" t="s">
        <v>1606</v>
      </c>
      <c r="G700" s="6" t="s">
        <v>1607</v>
      </c>
      <c r="H700" s="6"/>
      <c r="I700" s="6" t="n">
        <v>550</v>
      </c>
    </row>
    <row r="701" customFormat="false" ht="23.25" hidden="false" customHeight="true" outlineLevel="0" collapsed="false">
      <c r="A701" s="6" t="s">
        <v>1603</v>
      </c>
      <c r="B701" s="6" t="s">
        <v>718</v>
      </c>
      <c r="C701" s="6" t="s">
        <v>719</v>
      </c>
      <c r="D701" s="6" t="s">
        <v>1788</v>
      </c>
      <c r="E701" s="6" t="s">
        <v>1605</v>
      </c>
      <c r="F701" s="6" t="s">
        <v>1606</v>
      </c>
      <c r="G701" s="6" t="s">
        <v>1607</v>
      </c>
      <c r="H701" s="6"/>
      <c r="I701" s="6" t="n">
        <v>547</v>
      </c>
    </row>
    <row r="702" customFormat="false" ht="23.25" hidden="false" customHeight="true" outlineLevel="0" collapsed="false">
      <c r="A702" s="6" t="s">
        <v>1603</v>
      </c>
      <c r="B702" s="6" t="s">
        <v>720</v>
      </c>
      <c r="C702" s="6" t="s">
        <v>721</v>
      </c>
      <c r="D702" s="6" t="s">
        <v>1788</v>
      </c>
      <c r="E702" s="6" t="s">
        <v>1605</v>
      </c>
      <c r="F702" s="6" t="s">
        <v>1606</v>
      </c>
      <c r="G702" s="6" t="s">
        <v>1607</v>
      </c>
      <c r="H702" s="6"/>
      <c r="I702" s="6" t="n">
        <v>570</v>
      </c>
    </row>
    <row r="703" customFormat="false" ht="23.25" hidden="false" customHeight="true" outlineLevel="0" collapsed="false">
      <c r="A703" s="6" t="s">
        <v>1603</v>
      </c>
      <c r="B703" s="6" t="s">
        <v>722</v>
      </c>
      <c r="C703" s="6" t="s">
        <v>723</v>
      </c>
      <c r="D703" s="6" t="s">
        <v>1788</v>
      </c>
      <c r="E703" s="6" t="s">
        <v>1605</v>
      </c>
      <c r="F703" s="6" t="s">
        <v>1606</v>
      </c>
      <c r="G703" s="6" t="s">
        <v>1607</v>
      </c>
      <c r="H703" s="6"/>
      <c r="I703" s="6" t="n">
        <v>801</v>
      </c>
    </row>
    <row r="704" customFormat="false" ht="23.25" hidden="false" customHeight="true" outlineLevel="0" collapsed="false">
      <c r="A704" s="6" t="s">
        <v>1603</v>
      </c>
      <c r="B704" s="6" t="s">
        <v>724</v>
      </c>
      <c r="C704" s="6" t="s">
        <v>725</v>
      </c>
      <c r="D704" s="6" t="s">
        <v>1788</v>
      </c>
      <c r="E704" s="6" t="s">
        <v>1605</v>
      </c>
      <c r="F704" s="6" t="s">
        <v>1606</v>
      </c>
      <c r="G704" s="6" t="s">
        <v>1607</v>
      </c>
      <c r="H704" s="6"/>
      <c r="I704" s="6" t="n">
        <v>546</v>
      </c>
    </row>
    <row r="705" customFormat="false" ht="23.25" hidden="false" customHeight="true" outlineLevel="0" collapsed="false">
      <c r="A705" s="6" t="s">
        <v>1603</v>
      </c>
      <c r="B705" s="6" t="s">
        <v>726</v>
      </c>
      <c r="C705" s="6" t="s">
        <v>727</v>
      </c>
      <c r="D705" s="6" t="s">
        <v>1788</v>
      </c>
      <c r="E705" s="6" t="s">
        <v>1605</v>
      </c>
      <c r="F705" s="6" t="s">
        <v>1606</v>
      </c>
      <c r="G705" s="6" t="s">
        <v>1607</v>
      </c>
      <c r="H705" s="6"/>
      <c r="I705" s="6" t="n">
        <v>553</v>
      </c>
    </row>
    <row r="706" customFormat="false" ht="23.25" hidden="false" customHeight="true" outlineLevel="0" collapsed="false">
      <c r="A706" s="6" t="s">
        <v>1603</v>
      </c>
      <c r="B706" s="6" t="s">
        <v>821</v>
      </c>
      <c r="C706" s="6" t="s">
        <v>822</v>
      </c>
      <c r="D706" s="6" t="s">
        <v>1788</v>
      </c>
      <c r="E706" s="6" t="s">
        <v>1605</v>
      </c>
      <c r="F706" s="6" t="s">
        <v>1606</v>
      </c>
      <c r="G706" s="6" t="s">
        <v>1607</v>
      </c>
      <c r="H706" s="6"/>
      <c r="I706" s="6" t="n">
        <v>33</v>
      </c>
    </row>
    <row r="707" customFormat="false" ht="23.25" hidden="false" customHeight="true" outlineLevel="0" collapsed="false">
      <c r="A707" s="6" t="s">
        <v>1603</v>
      </c>
      <c r="B707" s="6" t="s">
        <v>824</v>
      </c>
      <c r="C707" s="6" t="s">
        <v>825</v>
      </c>
      <c r="D707" s="6" t="s">
        <v>1788</v>
      </c>
      <c r="E707" s="6" t="s">
        <v>1605</v>
      </c>
      <c r="F707" s="6" t="s">
        <v>1606</v>
      </c>
      <c r="G707" s="6" t="s">
        <v>1607</v>
      </c>
      <c r="H707" s="6"/>
      <c r="I707" s="6" t="n">
        <v>528</v>
      </c>
    </row>
    <row r="708" customFormat="false" ht="23.25" hidden="false" customHeight="true" outlineLevel="0" collapsed="false">
      <c r="A708" s="6" t="s">
        <v>1603</v>
      </c>
      <c r="B708" s="6" t="s">
        <v>826</v>
      </c>
      <c r="C708" s="6" t="s">
        <v>827</v>
      </c>
      <c r="D708" s="6" t="s">
        <v>1788</v>
      </c>
      <c r="E708" s="6" t="s">
        <v>1605</v>
      </c>
      <c r="F708" s="6" t="s">
        <v>1606</v>
      </c>
      <c r="G708" s="6" t="s">
        <v>1607</v>
      </c>
      <c r="H708" s="6"/>
      <c r="I708" s="6" t="n">
        <v>518</v>
      </c>
    </row>
    <row r="709" customFormat="false" ht="23.25" hidden="false" customHeight="true" outlineLevel="0" collapsed="false">
      <c r="A709" s="6" t="s">
        <v>1603</v>
      </c>
      <c r="B709" s="6" t="s">
        <v>828</v>
      </c>
      <c r="C709" s="6" t="s">
        <v>829</v>
      </c>
      <c r="D709" s="6" t="s">
        <v>1788</v>
      </c>
      <c r="E709" s="6" t="s">
        <v>1605</v>
      </c>
      <c r="F709" s="6" t="s">
        <v>1606</v>
      </c>
      <c r="G709" s="6" t="s">
        <v>1632</v>
      </c>
      <c r="H709" s="6" t="s">
        <v>830</v>
      </c>
      <c r="I709" s="6" t="n">
        <v>5</v>
      </c>
    </row>
    <row r="710" customFormat="false" ht="23.25" hidden="false" customHeight="true" outlineLevel="0" collapsed="false">
      <c r="A710" s="6" t="s">
        <v>1603</v>
      </c>
      <c r="B710" s="6" t="s">
        <v>961</v>
      </c>
      <c r="C710" s="6" t="s">
        <v>962</v>
      </c>
      <c r="D710" s="6" t="s">
        <v>1788</v>
      </c>
      <c r="E710" s="6" t="s">
        <v>1605</v>
      </c>
      <c r="F710" s="6" t="s">
        <v>1606</v>
      </c>
      <c r="G710" s="6" t="s">
        <v>1607</v>
      </c>
      <c r="H710" s="6"/>
      <c r="I710" s="6" t="n">
        <v>512</v>
      </c>
    </row>
    <row r="711" customFormat="false" ht="23.25" hidden="false" customHeight="true" outlineLevel="0" collapsed="false">
      <c r="A711" s="6" t="s">
        <v>1603</v>
      </c>
      <c r="B711" s="6" t="s">
        <v>963</v>
      </c>
      <c r="C711" s="6" t="s">
        <v>964</v>
      </c>
      <c r="D711" s="6" t="s">
        <v>1788</v>
      </c>
      <c r="E711" s="6" t="s">
        <v>1605</v>
      </c>
      <c r="F711" s="6" t="s">
        <v>1606</v>
      </c>
      <c r="G711" s="6" t="s">
        <v>1607</v>
      </c>
      <c r="H711" s="6"/>
      <c r="I711" s="6" t="n">
        <v>543</v>
      </c>
    </row>
    <row r="712" customFormat="false" ht="23.25" hidden="false" customHeight="true" outlineLevel="0" collapsed="false">
      <c r="A712" s="6" t="s">
        <v>1603</v>
      </c>
      <c r="B712" s="6" t="s">
        <v>965</v>
      </c>
      <c r="C712" s="6" t="s">
        <v>966</v>
      </c>
      <c r="D712" s="6" t="s">
        <v>1788</v>
      </c>
      <c r="E712" s="6" t="s">
        <v>1605</v>
      </c>
      <c r="F712" s="6" t="s">
        <v>1606</v>
      </c>
      <c r="G712" s="6" t="s">
        <v>1607</v>
      </c>
      <c r="H712" s="6"/>
      <c r="I712" s="6" t="n">
        <v>516</v>
      </c>
    </row>
    <row r="713" customFormat="false" ht="23.25" hidden="false" customHeight="true" outlineLevel="0" collapsed="false">
      <c r="A713" s="6" t="s">
        <v>1603</v>
      </c>
      <c r="B713" s="6" t="s">
        <v>967</v>
      </c>
      <c r="C713" s="6" t="s">
        <v>968</v>
      </c>
      <c r="D713" s="6" t="s">
        <v>1788</v>
      </c>
      <c r="E713" s="6" t="s">
        <v>1605</v>
      </c>
      <c r="F713" s="6" t="s">
        <v>1606</v>
      </c>
      <c r="G713" s="6" t="s">
        <v>1607</v>
      </c>
      <c r="H713" s="6"/>
      <c r="I713" s="6" t="n">
        <v>3</v>
      </c>
    </row>
    <row r="714" customFormat="false" ht="23.25" hidden="false" customHeight="true" outlineLevel="0" collapsed="false">
      <c r="A714" s="6" t="s">
        <v>1603</v>
      </c>
      <c r="B714" s="6" t="s">
        <v>992</v>
      </c>
      <c r="C714" s="6" t="s">
        <v>993</v>
      </c>
      <c r="D714" s="6" t="s">
        <v>1788</v>
      </c>
      <c r="E714" s="6" t="s">
        <v>1605</v>
      </c>
      <c r="F714" s="6" t="s">
        <v>1606</v>
      </c>
      <c r="G714" s="6" t="s">
        <v>1607</v>
      </c>
      <c r="H714" s="6"/>
      <c r="I714" s="6" t="n">
        <v>512</v>
      </c>
    </row>
    <row r="715" customFormat="false" ht="23.25" hidden="false" customHeight="true" outlineLevel="0" collapsed="false">
      <c r="A715" s="6" t="s">
        <v>1603</v>
      </c>
      <c r="B715" s="6" t="s">
        <v>995</v>
      </c>
      <c r="C715" s="6" t="s">
        <v>996</v>
      </c>
      <c r="D715" s="6" t="s">
        <v>1788</v>
      </c>
      <c r="E715" s="6" t="s">
        <v>1605</v>
      </c>
      <c r="F715" s="6" t="s">
        <v>1606</v>
      </c>
      <c r="G715" s="6" t="s">
        <v>1607</v>
      </c>
      <c r="H715" s="6"/>
      <c r="I715" s="6" t="n">
        <v>5</v>
      </c>
    </row>
    <row r="716" customFormat="false" ht="23.25" hidden="false" customHeight="true" outlineLevel="0" collapsed="false">
      <c r="A716" s="6" t="s">
        <v>1603</v>
      </c>
      <c r="B716" s="6" t="s">
        <v>997</v>
      </c>
      <c r="C716" s="6" t="s">
        <v>998</v>
      </c>
      <c r="D716" s="6" t="s">
        <v>1788</v>
      </c>
      <c r="E716" s="6" t="s">
        <v>1605</v>
      </c>
      <c r="F716" s="6" t="s">
        <v>1606</v>
      </c>
      <c r="G716" s="6" t="s">
        <v>1607</v>
      </c>
      <c r="H716" s="6"/>
      <c r="I716" s="6" t="n">
        <v>4</v>
      </c>
    </row>
    <row r="717" customFormat="false" ht="23.25" hidden="false" customHeight="true" outlineLevel="0" collapsed="false">
      <c r="A717" s="6" t="s">
        <v>1603</v>
      </c>
      <c r="B717" s="6" t="s">
        <v>1386</v>
      </c>
      <c r="C717" s="6" t="s">
        <v>1387</v>
      </c>
      <c r="D717" s="6" t="s">
        <v>1788</v>
      </c>
      <c r="E717" s="6" t="s">
        <v>1605</v>
      </c>
      <c r="F717" s="6" t="s">
        <v>1606</v>
      </c>
      <c r="G717" s="6" t="s">
        <v>1607</v>
      </c>
      <c r="H717" s="6"/>
      <c r="I717" s="6" t="n">
        <v>4</v>
      </c>
    </row>
    <row r="718" customFormat="false" ht="23.25" hidden="false" customHeight="true" outlineLevel="0" collapsed="false">
      <c r="A718" s="6" t="s">
        <v>1603</v>
      </c>
      <c r="B718" s="6" t="s">
        <v>1388</v>
      </c>
      <c r="C718" s="6" t="s">
        <v>1389</v>
      </c>
      <c r="D718" s="6" t="s">
        <v>1788</v>
      </c>
      <c r="E718" s="6" t="s">
        <v>1605</v>
      </c>
      <c r="F718" s="6" t="s">
        <v>1606</v>
      </c>
      <c r="G718" s="6" t="s">
        <v>1607</v>
      </c>
      <c r="H718" s="6"/>
      <c r="I718" s="6" t="n">
        <v>3</v>
      </c>
    </row>
    <row r="719" customFormat="false" ht="23.25" hidden="false" customHeight="true" outlineLevel="0" collapsed="false">
      <c r="A719" s="6" t="s">
        <v>1603</v>
      </c>
      <c r="B719" s="6" t="s">
        <v>1390</v>
      </c>
      <c r="C719" s="6" t="s">
        <v>1391</v>
      </c>
      <c r="D719" s="6" t="s">
        <v>1788</v>
      </c>
      <c r="E719" s="6" t="s">
        <v>1605</v>
      </c>
      <c r="F719" s="6" t="s">
        <v>1606</v>
      </c>
      <c r="G719" s="6" t="s">
        <v>1607</v>
      </c>
      <c r="H719" s="6"/>
      <c r="I719" s="6" t="n">
        <v>3</v>
      </c>
    </row>
    <row r="720" customFormat="false" ht="23.25" hidden="false" customHeight="true" outlineLevel="0" collapsed="false">
      <c r="A720" s="6" t="s">
        <v>1603</v>
      </c>
      <c r="B720" s="6" t="s">
        <v>1392</v>
      </c>
      <c r="C720" s="6" t="s">
        <v>1393</v>
      </c>
      <c r="D720" s="6" t="s">
        <v>1788</v>
      </c>
      <c r="E720" s="6" t="s">
        <v>1605</v>
      </c>
      <c r="F720" s="6" t="s">
        <v>1606</v>
      </c>
      <c r="G720" s="6" t="s">
        <v>1607</v>
      </c>
      <c r="H720" s="6"/>
      <c r="I720" s="6" t="n">
        <v>3</v>
      </c>
    </row>
    <row r="721" customFormat="false" ht="23.25" hidden="false" customHeight="true" outlineLevel="0" collapsed="false">
      <c r="A721" s="6" t="s">
        <v>1603</v>
      </c>
      <c r="B721" s="6" t="s">
        <v>1394</v>
      </c>
      <c r="C721" s="6" t="s">
        <v>1395</v>
      </c>
      <c r="D721" s="6" t="s">
        <v>1788</v>
      </c>
      <c r="E721" s="6" t="s">
        <v>1605</v>
      </c>
      <c r="F721" s="6" t="s">
        <v>1606</v>
      </c>
      <c r="G721" s="6" t="s">
        <v>1607</v>
      </c>
      <c r="H721" s="6"/>
      <c r="I721" s="6" t="n">
        <v>4</v>
      </c>
    </row>
    <row r="722" customFormat="false" ht="23.25" hidden="false" customHeight="true" outlineLevel="0" collapsed="false">
      <c r="A722" s="6" t="s">
        <v>1603</v>
      </c>
      <c r="B722" s="6" t="s">
        <v>1396</v>
      </c>
      <c r="C722" s="6" t="s">
        <v>1397</v>
      </c>
      <c r="D722" s="6" t="s">
        <v>1788</v>
      </c>
      <c r="E722" s="6" t="s">
        <v>1605</v>
      </c>
      <c r="F722" s="6" t="s">
        <v>1606</v>
      </c>
      <c r="G722" s="6" t="s">
        <v>1632</v>
      </c>
      <c r="H722" s="6" t="s">
        <v>1398</v>
      </c>
      <c r="I722" s="6" t="n">
        <v>13</v>
      </c>
    </row>
    <row r="723" customFormat="false" ht="23.25" hidden="false" customHeight="true" outlineLevel="0" collapsed="false">
      <c r="A723" s="6" t="s">
        <v>1603</v>
      </c>
      <c r="B723" s="6" t="s">
        <v>1399</v>
      </c>
      <c r="C723" s="6" t="s">
        <v>1400</v>
      </c>
      <c r="D723" s="6" t="s">
        <v>1788</v>
      </c>
      <c r="E723" s="6" t="s">
        <v>1605</v>
      </c>
      <c r="F723" s="6" t="s">
        <v>1606</v>
      </c>
      <c r="G723" s="6" t="s">
        <v>1607</v>
      </c>
      <c r="H723" s="6"/>
      <c r="I723" s="6" t="n">
        <v>3</v>
      </c>
    </row>
    <row r="724" customFormat="false" ht="23.25" hidden="false" customHeight="true" outlineLevel="0" collapsed="false">
      <c r="A724" s="6" t="s">
        <v>1603</v>
      </c>
      <c r="B724" s="6" t="s">
        <v>1401</v>
      </c>
      <c r="C724" s="6" t="s">
        <v>1402</v>
      </c>
      <c r="D724" s="6" t="s">
        <v>1788</v>
      </c>
      <c r="E724" s="6" t="s">
        <v>1605</v>
      </c>
      <c r="F724" s="6" t="s">
        <v>1606</v>
      </c>
      <c r="G724" s="6" t="s">
        <v>1607</v>
      </c>
      <c r="H724" s="6"/>
      <c r="I724" s="6" t="n">
        <v>3</v>
      </c>
    </row>
    <row r="725" customFormat="false" ht="23.25" hidden="false" customHeight="true" outlineLevel="0" collapsed="false">
      <c r="A725" s="6" t="s">
        <v>1603</v>
      </c>
      <c r="B725" s="6" t="s">
        <v>1403</v>
      </c>
      <c r="C725" s="6" t="s">
        <v>1404</v>
      </c>
      <c r="D725" s="6" t="s">
        <v>1788</v>
      </c>
      <c r="E725" s="6" t="s">
        <v>1605</v>
      </c>
      <c r="F725" s="6" t="s">
        <v>1606</v>
      </c>
      <c r="G725" s="6" t="s">
        <v>1607</v>
      </c>
      <c r="H725" s="6"/>
      <c r="I725" s="6" t="n">
        <v>2</v>
      </c>
    </row>
    <row r="726" customFormat="false" ht="23.25" hidden="false" customHeight="true" outlineLevel="0" collapsed="false">
      <c r="A726" s="6" t="s">
        <v>1603</v>
      </c>
      <c r="B726" s="6" t="s">
        <v>1405</v>
      </c>
      <c r="C726" s="6" t="s">
        <v>1406</v>
      </c>
      <c r="D726" s="6" t="s">
        <v>1788</v>
      </c>
      <c r="E726" s="6" t="s">
        <v>1605</v>
      </c>
      <c r="F726" s="6" t="s">
        <v>1606</v>
      </c>
      <c r="G726" s="6" t="s">
        <v>1607</v>
      </c>
      <c r="H726" s="6"/>
      <c r="I726" s="6" t="n">
        <v>2</v>
      </c>
    </row>
    <row r="727" customFormat="false" ht="23.25" hidden="false" customHeight="true" outlineLevel="0" collapsed="false">
      <c r="A727" s="6" t="s">
        <v>1603</v>
      </c>
      <c r="B727" s="6" t="s">
        <v>1407</v>
      </c>
      <c r="C727" s="6" t="s">
        <v>1408</v>
      </c>
      <c r="D727" s="6" t="s">
        <v>1788</v>
      </c>
      <c r="E727" s="6" t="s">
        <v>1605</v>
      </c>
      <c r="F727" s="6" t="s">
        <v>1606</v>
      </c>
      <c r="G727" s="6" t="s">
        <v>1607</v>
      </c>
      <c r="H727" s="6"/>
      <c r="I727" s="6" t="n">
        <v>2</v>
      </c>
    </row>
    <row r="728" customFormat="false" ht="23.25" hidden="false" customHeight="true" outlineLevel="0" collapsed="false">
      <c r="A728" s="6" t="s">
        <v>1603</v>
      </c>
      <c r="B728" s="6" t="s">
        <v>1409</v>
      </c>
      <c r="C728" s="6" t="s">
        <v>1410</v>
      </c>
      <c r="D728" s="6" t="s">
        <v>1788</v>
      </c>
      <c r="E728" s="6" t="s">
        <v>1605</v>
      </c>
      <c r="F728" s="6" t="s">
        <v>1606</v>
      </c>
      <c r="G728" s="6" t="s">
        <v>1607</v>
      </c>
      <c r="H728" s="6"/>
      <c r="I728" s="6" t="n">
        <v>4</v>
      </c>
    </row>
    <row r="729" customFormat="false" ht="23.25" hidden="false" customHeight="true" outlineLevel="0" collapsed="false">
      <c r="A729" s="6" t="s">
        <v>1603</v>
      </c>
      <c r="B729" s="6" t="s">
        <v>1296</v>
      </c>
      <c r="C729" s="6" t="s">
        <v>1297</v>
      </c>
      <c r="D729" s="6" t="s">
        <v>1788</v>
      </c>
      <c r="E729" s="6" t="s">
        <v>1605</v>
      </c>
      <c r="F729" s="6" t="s">
        <v>1606</v>
      </c>
      <c r="G729" s="6" t="s">
        <v>1607</v>
      </c>
      <c r="H729" s="6"/>
      <c r="I729" s="6" t="n">
        <v>4</v>
      </c>
    </row>
    <row r="730" customFormat="false" ht="23.25" hidden="false" customHeight="true" outlineLevel="0" collapsed="false">
      <c r="A730" s="6" t="s">
        <v>1603</v>
      </c>
      <c r="B730" s="6" t="s">
        <v>1299</v>
      </c>
      <c r="C730" s="6" t="s">
        <v>1300</v>
      </c>
      <c r="D730" s="6" t="s">
        <v>1788</v>
      </c>
      <c r="E730" s="6" t="s">
        <v>1605</v>
      </c>
      <c r="F730" s="6" t="s">
        <v>1606</v>
      </c>
      <c r="G730" s="6" t="s">
        <v>1607</v>
      </c>
      <c r="H730" s="6"/>
      <c r="I730" s="6" t="n">
        <v>1</v>
      </c>
    </row>
    <row r="731" customFormat="false" ht="23.25" hidden="false" customHeight="true" outlineLevel="0" collapsed="false">
      <c r="A731" s="6" t="s">
        <v>1603</v>
      </c>
      <c r="B731" s="6" t="s">
        <v>1301</v>
      </c>
      <c r="C731" s="6" t="s">
        <v>1302</v>
      </c>
      <c r="D731" s="6" t="s">
        <v>1788</v>
      </c>
      <c r="E731" s="6" t="s">
        <v>1605</v>
      </c>
      <c r="F731" s="6" t="s">
        <v>1606</v>
      </c>
      <c r="G731" s="6" t="s">
        <v>1607</v>
      </c>
      <c r="H731" s="6"/>
      <c r="I731" s="6" t="n">
        <v>1</v>
      </c>
    </row>
    <row r="732" customFormat="false" ht="23.25" hidden="false" customHeight="true" outlineLevel="0" collapsed="false">
      <c r="A732" s="6" t="s">
        <v>1603</v>
      </c>
      <c r="B732" s="6" t="s">
        <v>1303</v>
      </c>
      <c r="C732" s="6" t="s">
        <v>1304</v>
      </c>
      <c r="D732" s="6" t="s">
        <v>1788</v>
      </c>
      <c r="E732" s="6" t="s">
        <v>1605</v>
      </c>
      <c r="F732" s="6" t="s">
        <v>1606</v>
      </c>
      <c r="G732" s="6" t="s">
        <v>1607</v>
      </c>
      <c r="H732" s="6"/>
      <c r="I732" s="6" t="n">
        <v>1</v>
      </c>
    </row>
    <row r="733" customFormat="false" ht="23.25" hidden="false" customHeight="true" outlineLevel="0" collapsed="false">
      <c r="A733" s="6" t="s">
        <v>1603</v>
      </c>
      <c r="B733" s="6" t="s">
        <v>1305</v>
      </c>
      <c r="C733" s="6" t="s">
        <v>1306</v>
      </c>
      <c r="D733" s="6" t="s">
        <v>1788</v>
      </c>
      <c r="E733" s="6" t="s">
        <v>1605</v>
      </c>
      <c r="F733" s="6" t="s">
        <v>1606</v>
      </c>
      <c r="G733" s="6" t="s">
        <v>1607</v>
      </c>
      <c r="H733" s="6"/>
      <c r="I733" s="6" t="n">
        <v>0</v>
      </c>
    </row>
    <row r="734" customFormat="false" ht="23.25" hidden="false" customHeight="true" outlineLevel="0" collapsed="false">
      <c r="A734" s="6" t="s">
        <v>1603</v>
      </c>
      <c r="B734" s="6" t="s">
        <v>1307</v>
      </c>
      <c r="C734" s="6" t="s">
        <v>1308</v>
      </c>
      <c r="D734" s="6" t="s">
        <v>1788</v>
      </c>
      <c r="E734" s="6" t="s">
        <v>1605</v>
      </c>
      <c r="F734" s="6" t="s">
        <v>1606</v>
      </c>
      <c r="G734" s="6" t="s">
        <v>1607</v>
      </c>
      <c r="H734" s="6"/>
      <c r="I734" s="6" t="n">
        <v>0</v>
      </c>
    </row>
    <row r="735" customFormat="false" ht="23.25" hidden="false" customHeight="true" outlineLevel="0" collapsed="false">
      <c r="A735" s="6" t="s">
        <v>1603</v>
      </c>
      <c r="B735" s="6" t="s">
        <v>1354</v>
      </c>
      <c r="C735" s="6" t="s">
        <v>1355</v>
      </c>
      <c r="D735" s="6" t="s">
        <v>1788</v>
      </c>
      <c r="E735" s="6" t="s">
        <v>1605</v>
      </c>
      <c r="F735" s="6" t="s">
        <v>1606</v>
      </c>
      <c r="G735" s="6" t="s">
        <v>1607</v>
      </c>
      <c r="H735" s="6"/>
      <c r="I735" s="6" t="n">
        <v>5</v>
      </c>
    </row>
    <row r="736" customFormat="false" ht="23.25" hidden="false" customHeight="true" outlineLevel="0" collapsed="false">
      <c r="A736" s="6" t="s">
        <v>1603</v>
      </c>
      <c r="B736" s="6" t="s">
        <v>1357</v>
      </c>
      <c r="C736" s="6" t="s">
        <v>1358</v>
      </c>
      <c r="D736" s="6" t="s">
        <v>1788</v>
      </c>
      <c r="E736" s="6" t="s">
        <v>1605</v>
      </c>
      <c r="F736" s="6" t="s">
        <v>1606</v>
      </c>
      <c r="G736" s="6" t="s">
        <v>1607</v>
      </c>
      <c r="H736" s="6"/>
      <c r="I736" s="6" t="n">
        <v>16</v>
      </c>
    </row>
    <row r="737" customFormat="false" ht="23.25" hidden="false" customHeight="true" outlineLevel="0" collapsed="false">
      <c r="A737" s="6" t="s">
        <v>1603</v>
      </c>
      <c r="B737" s="6" t="s">
        <v>1359</v>
      </c>
      <c r="C737" s="6" t="s">
        <v>1360</v>
      </c>
      <c r="D737" s="6" t="s">
        <v>1788</v>
      </c>
      <c r="E737" s="6" t="s">
        <v>1605</v>
      </c>
      <c r="F737" s="6" t="s">
        <v>1606</v>
      </c>
      <c r="G737" s="6" t="s">
        <v>1607</v>
      </c>
      <c r="H737" s="6"/>
      <c r="I737" s="6" t="n">
        <v>40</v>
      </c>
    </row>
    <row r="738" customFormat="false" ht="23.25" hidden="false" customHeight="true" outlineLevel="0" collapsed="false">
      <c r="A738" s="6" t="s">
        <v>1603</v>
      </c>
      <c r="B738" s="6" t="s">
        <v>1361</v>
      </c>
      <c r="C738" s="6" t="s">
        <v>1362</v>
      </c>
      <c r="D738" s="6" t="s">
        <v>1788</v>
      </c>
      <c r="E738" s="6" t="s">
        <v>1605</v>
      </c>
      <c r="F738" s="6" t="s">
        <v>1606</v>
      </c>
      <c r="G738" s="6" t="s">
        <v>1607</v>
      </c>
      <c r="H738" s="6"/>
      <c r="I738" s="6" t="n">
        <v>15</v>
      </c>
    </row>
    <row r="739" customFormat="false" ht="23.25" hidden="false" customHeight="true" outlineLevel="0" collapsed="false">
      <c r="A739" s="6" t="s">
        <v>1603</v>
      </c>
      <c r="B739" s="6" t="s">
        <v>1363</v>
      </c>
      <c r="C739" s="6" t="s">
        <v>1364</v>
      </c>
      <c r="D739" s="6" t="s">
        <v>1788</v>
      </c>
      <c r="E739" s="6" t="s">
        <v>1605</v>
      </c>
      <c r="F739" s="6" t="s">
        <v>1606</v>
      </c>
      <c r="G739" s="6" t="s">
        <v>1607</v>
      </c>
      <c r="H739" s="6"/>
      <c r="I739" s="6" t="n">
        <v>22</v>
      </c>
    </row>
    <row r="740" customFormat="false" ht="23.25" hidden="false" customHeight="true" outlineLevel="0" collapsed="false">
      <c r="A740" s="6" t="s">
        <v>1603</v>
      </c>
      <c r="B740" s="6" t="s">
        <v>1365</v>
      </c>
      <c r="C740" s="6" t="s">
        <v>1366</v>
      </c>
      <c r="D740" s="6" t="s">
        <v>1788</v>
      </c>
      <c r="E740" s="6" t="s">
        <v>1605</v>
      </c>
      <c r="F740" s="6" t="s">
        <v>1606</v>
      </c>
      <c r="G740" s="6" t="s">
        <v>1607</v>
      </c>
      <c r="H740" s="6"/>
      <c r="I740" s="6" t="n">
        <v>11</v>
      </c>
    </row>
    <row r="741" customFormat="false" ht="23.25" hidden="false" customHeight="true" outlineLevel="0" collapsed="false">
      <c r="A741" s="6" t="s">
        <v>1603</v>
      </c>
      <c r="B741" s="6" t="s">
        <v>1367</v>
      </c>
      <c r="C741" s="6" t="s">
        <v>1368</v>
      </c>
      <c r="D741" s="6" t="s">
        <v>1788</v>
      </c>
      <c r="E741" s="6" t="s">
        <v>1605</v>
      </c>
      <c r="F741" s="6" t="s">
        <v>1606</v>
      </c>
      <c r="G741" s="6" t="s">
        <v>1607</v>
      </c>
      <c r="H741" s="6"/>
      <c r="I741" s="6" t="n">
        <v>7</v>
      </c>
    </row>
    <row r="742" customFormat="false" ht="23.25" hidden="false" customHeight="true" outlineLevel="0" collapsed="false">
      <c r="A742" s="6" t="s">
        <v>1603</v>
      </c>
      <c r="B742" s="6" t="s">
        <v>1369</v>
      </c>
      <c r="C742" s="6" t="s">
        <v>1370</v>
      </c>
      <c r="D742" s="6" t="s">
        <v>1788</v>
      </c>
      <c r="E742" s="6" t="s">
        <v>1605</v>
      </c>
      <c r="F742" s="6" t="s">
        <v>1606</v>
      </c>
      <c r="G742" s="6" t="s">
        <v>1607</v>
      </c>
      <c r="H742" s="6"/>
      <c r="I742" s="6" t="n">
        <v>4</v>
      </c>
    </row>
    <row r="743" customFormat="false" ht="23.25" hidden="false" customHeight="true" outlineLevel="0" collapsed="false">
      <c r="A743" s="6" t="s">
        <v>1603</v>
      </c>
      <c r="B743" s="6" t="s">
        <v>1371</v>
      </c>
      <c r="C743" s="6" t="s">
        <v>1372</v>
      </c>
      <c r="D743" s="6" t="s">
        <v>1788</v>
      </c>
      <c r="E743" s="6" t="s">
        <v>1605</v>
      </c>
      <c r="F743" s="6" t="s">
        <v>1606</v>
      </c>
      <c r="G743" s="6" t="s">
        <v>1607</v>
      </c>
      <c r="H743" s="6"/>
      <c r="I743" s="6" t="n">
        <v>4</v>
      </c>
    </row>
    <row r="744" customFormat="false" ht="23.25" hidden="false" customHeight="true" outlineLevel="0" collapsed="false">
      <c r="A744" s="6" t="s">
        <v>1603</v>
      </c>
      <c r="B744" s="6" t="s">
        <v>1371</v>
      </c>
      <c r="C744" s="6" t="s">
        <v>1996</v>
      </c>
      <c r="D744" s="6" t="s">
        <v>1788</v>
      </c>
      <c r="E744" s="6" t="s">
        <v>1605</v>
      </c>
      <c r="F744" s="6" t="s">
        <v>1606</v>
      </c>
      <c r="G744" s="6" t="s">
        <v>1607</v>
      </c>
      <c r="H744" s="6"/>
      <c r="I744" s="6" t="n">
        <v>5</v>
      </c>
    </row>
    <row r="745" customFormat="false" ht="23.25" hidden="false" customHeight="true" outlineLevel="0" collapsed="false">
      <c r="A745" s="6" t="s">
        <v>1603</v>
      </c>
      <c r="B745" s="6" t="s">
        <v>1371</v>
      </c>
      <c r="C745" s="6" t="s">
        <v>1997</v>
      </c>
      <c r="D745" s="6" t="s">
        <v>1788</v>
      </c>
      <c r="E745" s="6" t="s">
        <v>1605</v>
      </c>
      <c r="F745" s="6" t="s">
        <v>1606</v>
      </c>
      <c r="G745" s="6" t="s">
        <v>1607</v>
      </c>
      <c r="H745" s="6"/>
      <c r="I745" s="6" t="n">
        <v>3</v>
      </c>
    </row>
    <row r="746" customFormat="false" ht="23.25" hidden="false" customHeight="true" outlineLevel="0" collapsed="false">
      <c r="A746" s="6" t="s">
        <v>1603</v>
      </c>
      <c r="B746" s="6" t="s">
        <v>1371</v>
      </c>
      <c r="C746" s="6" t="s">
        <v>1998</v>
      </c>
      <c r="D746" s="6" t="s">
        <v>1788</v>
      </c>
      <c r="E746" s="6" t="s">
        <v>1605</v>
      </c>
      <c r="F746" s="6" t="s">
        <v>1606</v>
      </c>
      <c r="G746" s="6" t="s">
        <v>1607</v>
      </c>
      <c r="H746" s="6"/>
      <c r="I746" s="6" t="n">
        <v>3</v>
      </c>
    </row>
    <row r="747" customFormat="false" ht="23.25" hidden="false" customHeight="true" outlineLevel="0" collapsed="false">
      <c r="A747" s="6" t="s">
        <v>1603</v>
      </c>
      <c r="B747" s="6" t="s">
        <v>1371</v>
      </c>
      <c r="C747" s="6" t="s">
        <v>1999</v>
      </c>
      <c r="D747" s="6" t="s">
        <v>1788</v>
      </c>
      <c r="E747" s="6" t="s">
        <v>1605</v>
      </c>
      <c r="F747" s="6" t="s">
        <v>1606</v>
      </c>
      <c r="G747" s="6" t="s">
        <v>1607</v>
      </c>
      <c r="H747" s="6"/>
      <c r="I747" s="6" t="n">
        <v>3</v>
      </c>
    </row>
    <row r="748" customFormat="false" ht="23.25" hidden="false" customHeight="true" outlineLevel="0" collapsed="false">
      <c r="A748" s="6" t="s">
        <v>1603</v>
      </c>
      <c r="B748" s="6" t="s">
        <v>1371</v>
      </c>
      <c r="C748" s="6" t="s">
        <v>2000</v>
      </c>
      <c r="D748" s="6" t="s">
        <v>1788</v>
      </c>
      <c r="E748" s="6" t="s">
        <v>1605</v>
      </c>
      <c r="F748" s="6" t="s">
        <v>1606</v>
      </c>
      <c r="G748" s="6" t="s">
        <v>1607</v>
      </c>
      <c r="H748" s="6"/>
      <c r="I748" s="6" t="n">
        <v>3</v>
      </c>
    </row>
    <row r="749" customFormat="false" ht="23.25" hidden="false" customHeight="true" outlineLevel="0" collapsed="false">
      <c r="A749" s="6" t="s">
        <v>1603</v>
      </c>
      <c r="B749" s="6" t="s">
        <v>1371</v>
      </c>
      <c r="C749" s="6" t="s">
        <v>2001</v>
      </c>
      <c r="D749" s="6" t="s">
        <v>1788</v>
      </c>
      <c r="E749" s="6" t="s">
        <v>1605</v>
      </c>
      <c r="F749" s="6" t="s">
        <v>1606</v>
      </c>
      <c r="G749" s="6" t="s">
        <v>1607</v>
      </c>
      <c r="H749" s="6"/>
      <c r="I749" s="6" t="n">
        <v>3</v>
      </c>
    </row>
    <row r="750" customFormat="false" ht="23.25" hidden="false" customHeight="true" outlineLevel="0" collapsed="false">
      <c r="A750" s="6" t="s">
        <v>1603</v>
      </c>
      <c r="B750" s="6" t="s">
        <v>1371</v>
      </c>
      <c r="C750" s="6" t="s">
        <v>2002</v>
      </c>
      <c r="D750" s="6" t="s">
        <v>1788</v>
      </c>
      <c r="E750" s="6" t="s">
        <v>1605</v>
      </c>
      <c r="F750" s="6" t="s">
        <v>1606</v>
      </c>
      <c r="G750" s="6" t="s">
        <v>1607</v>
      </c>
      <c r="H750" s="6"/>
      <c r="I750" s="6" t="n">
        <v>3</v>
      </c>
    </row>
    <row r="751" customFormat="false" ht="23.25" hidden="false" customHeight="true" outlineLevel="0" collapsed="false">
      <c r="A751" s="6" t="s">
        <v>1603</v>
      </c>
      <c r="B751" s="6" t="s">
        <v>1371</v>
      </c>
      <c r="C751" s="6" t="s">
        <v>2003</v>
      </c>
      <c r="D751" s="6" t="s">
        <v>1788</v>
      </c>
      <c r="E751" s="6" t="s">
        <v>1605</v>
      </c>
      <c r="F751" s="6" t="s">
        <v>1606</v>
      </c>
      <c r="G751" s="6" t="s">
        <v>1607</v>
      </c>
      <c r="H751" s="6"/>
      <c r="I751" s="6" t="n">
        <v>3</v>
      </c>
    </row>
    <row r="752" customFormat="false" ht="23.25" hidden="false" customHeight="true" outlineLevel="0" collapsed="false">
      <c r="A752" s="6" t="s">
        <v>1603</v>
      </c>
      <c r="B752" s="6" t="s">
        <v>1373</v>
      </c>
      <c r="C752" s="6" t="s">
        <v>1374</v>
      </c>
      <c r="D752" s="6" t="s">
        <v>1788</v>
      </c>
      <c r="E752" s="6" t="s">
        <v>1605</v>
      </c>
      <c r="F752" s="6" t="s">
        <v>1606</v>
      </c>
      <c r="G752" s="6" t="s">
        <v>1607</v>
      </c>
      <c r="H752" s="6"/>
      <c r="I752" s="6" t="n">
        <v>324</v>
      </c>
    </row>
    <row r="753" customFormat="false" ht="23.25" hidden="false" customHeight="true" outlineLevel="0" collapsed="false">
      <c r="A753" s="6" t="s">
        <v>1603</v>
      </c>
      <c r="B753" s="6" t="s">
        <v>1375</v>
      </c>
      <c r="C753" s="6" t="s">
        <v>1376</v>
      </c>
      <c r="D753" s="6" t="s">
        <v>1788</v>
      </c>
      <c r="E753" s="6" t="s">
        <v>1605</v>
      </c>
      <c r="F753" s="6" t="s">
        <v>1606</v>
      </c>
      <c r="G753" s="6" t="s">
        <v>1607</v>
      </c>
      <c r="H753" s="6"/>
      <c r="I753" s="6" t="n">
        <v>528</v>
      </c>
    </row>
    <row r="754" customFormat="false" ht="23.25" hidden="false" customHeight="true" outlineLevel="0" collapsed="false">
      <c r="A754" s="6" t="s">
        <v>1603</v>
      </c>
      <c r="B754" s="6" t="s">
        <v>1377</v>
      </c>
      <c r="C754" s="6" t="s">
        <v>1378</v>
      </c>
      <c r="D754" s="6" t="s">
        <v>1788</v>
      </c>
      <c r="E754" s="6" t="s">
        <v>1605</v>
      </c>
      <c r="F754" s="6" t="s">
        <v>1606</v>
      </c>
      <c r="G754" s="6" t="s">
        <v>1607</v>
      </c>
      <c r="H754" s="6"/>
      <c r="I754" s="6" t="n">
        <v>530</v>
      </c>
    </row>
    <row r="755" customFormat="false" ht="23.25" hidden="false" customHeight="true" outlineLevel="0" collapsed="false">
      <c r="A755" s="6" t="s">
        <v>1603</v>
      </c>
      <c r="B755" s="6" t="s">
        <v>1379</v>
      </c>
      <c r="C755" s="6" t="s">
        <v>1380</v>
      </c>
      <c r="D755" s="6" t="s">
        <v>1788</v>
      </c>
      <c r="E755" s="6" t="s">
        <v>1605</v>
      </c>
      <c r="F755" s="6" t="s">
        <v>1606</v>
      </c>
      <c r="G755" s="6" t="s">
        <v>1607</v>
      </c>
      <c r="H755" s="6"/>
      <c r="I755" s="6" t="n">
        <v>4</v>
      </c>
    </row>
    <row r="756" customFormat="false" ht="23.25" hidden="false" customHeight="true" outlineLevel="0" collapsed="false">
      <c r="A756" s="6" t="s">
        <v>1603</v>
      </c>
      <c r="B756" s="6" t="s">
        <v>1381</v>
      </c>
      <c r="C756" s="6" t="s">
        <v>1382</v>
      </c>
      <c r="D756" s="6" t="s">
        <v>1788</v>
      </c>
      <c r="E756" s="6" t="s">
        <v>1605</v>
      </c>
      <c r="F756" s="6" t="s">
        <v>1606</v>
      </c>
      <c r="G756" s="6" t="s">
        <v>1632</v>
      </c>
      <c r="H756" s="6" t="s">
        <v>1383</v>
      </c>
      <c r="I756" s="6" t="n">
        <v>22</v>
      </c>
    </row>
    <row r="757" customFormat="false" ht="23.25" hidden="false" customHeight="true" outlineLevel="0" collapsed="false">
      <c r="A757" s="6" t="s">
        <v>1603</v>
      </c>
      <c r="B757" s="6" t="s">
        <v>1384</v>
      </c>
      <c r="C757" s="6" t="s">
        <v>1385</v>
      </c>
      <c r="D757" s="6" t="s">
        <v>1788</v>
      </c>
      <c r="E757" s="6" t="s">
        <v>1605</v>
      </c>
      <c r="F757" s="6" t="s">
        <v>1606</v>
      </c>
      <c r="G757" s="6" t="s">
        <v>1607</v>
      </c>
      <c r="H757" s="6"/>
      <c r="I757" s="6" t="n">
        <v>12</v>
      </c>
    </row>
    <row r="758" customFormat="false" ht="23.25" hidden="false" customHeight="true" outlineLevel="0" collapsed="false">
      <c r="A758" s="6" t="s">
        <v>1603</v>
      </c>
      <c r="B758" s="6" t="s">
        <v>781</v>
      </c>
      <c r="C758" s="6" t="s">
        <v>782</v>
      </c>
      <c r="D758" s="6" t="s">
        <v>1788</v>
      </c>
      <c r="E758" s="6" t="s">
        <v>1605</v>
      </c>
      <c r="F758" s="6" t="s">
        <v>1606</v>
      </c>
      <c r="G758" s="6" t="s">
        <v>1607</v>
      </c>
      <c r="H758" s="6"/>
      <c r="I758" s="6" t="n">
        <v>708</v>
      </c>
    </row>
    <row r="759" customFormat="false" ht="23.25" hidden="false" customHeight="true" outlineLevel="0" collapsed="false">
      <c r="A759" s="6" t="s">
        <v>1603</v>
      </c>
      <c r="B759" s="6" t="s">
        <v>784</v>
      </c>
      <c r="C759" s="6" t="s">
        <v>785</v>
      </c>
      <c r="D759" s="6" t="s">
        <v>1788</v>
      </c>
      <c r="E759" s="6" t="s">
        <v>1605</v>
      </c>
      <c r="F759" s="6" t="s">
        <v>1606</v>
      </c>
      <c r="G759" s="6" t="s">
        <v>1607</v>
      </c>
      <c r="H759" s="6"/>
      <c r="I759" s="6" t="n">
        <v>858</v>
      </c>
    </row>
    <row r="760" customFormat="false" ht="23.25" hidden="false" customHeight="true" outlineLevel="0" collapsed="false">
      <c r="A760" s="6" t="s">
        <v>1603</v>
      </c>
      <c r="B760" s="6" t="s">
        <v>786</v>
      </c>
      <c r="C760" s="6" t="s">
        <v>787</v>
      </c>
      <c r="D760" s="6" t="s">
        <v>1788</v>
      </c>
      <c r="E760" s="6" t="s">
        <v>1605</v>
      </c>
      <c r="F760" s="6" t="s">
        <v>1606</v>
      </c>
      <c r="G760" s="6" t="s">
        <v>1607</v>
      </c>
      <c r="H760" s="6"/>
      <c r="I760" s="6" t="n">
        <v>592</v>
      </c>
    </row>
    <row r="761" customFormat="false" ht="23.25" hidden="false" customHeight="true" outlineLevel="0" collapsed="false">
      <c r="A761" s="6" t="s">
        <v>1603</v>
      </c>
      <c r="B761" s="6" t="s">
        <v>788</v>
      </c>
      <c r="C761" s="6" t="s">
        <v>789</v>
      </c>
      <c r="D761" s="6" t="s">
        <v>1788</v>
      </c>
      <c r="E761" s="6" t="s">
        <v>1605</v>
      </c>
      <c r="F761" s="6" t="s">
        <v>1606</v>
      </c>
      <c r="G761" s="6" t="s">
        <v>1607</v>
      </c>
      <c r="H761" s="6"/>
      <c r="I761" s="6" t="n">
        <v>598</v>
      </c>
    </row>
    <row r="762" customFormat="false" ht="23.25" hidden="false" customHeight="true" outlineLevel="0" collapsed="false">
      <c r="A762" s="6" t="s">
        <v>1603</v>
      </c>
      <c r="B762" s="6" t="s">
        <v>790</v>
      </c>
      <c r="C762" s="6" t="s">
        <v>791</v>
      </c>
      <c r="D762" s="6" t="s">
        <v>1788</v>
      </c>
      <c r="E762" s="6" t="s">
        <v>1605</v>
      </c>
      <c r="F762" s="6" t="s">
        <v>1606</v>
      </c>
      <c r="G762" s="6" t="s">
        <v>1607</v>
      </c>
      <c r="H762" s="6"/>
      <c r="I762" s="6" t="n">
        <v>604</v>
      </c>
    </row>
    <row r="763" customFormat="false" ht="23.25" hidden="false" customHeight="true" outlineLevel="0" collapsed="false">
      <c r="A763" s="6" t="s">
        <v>1603</v>
      </c>
      <c r="B763" s="6" t="s">
        <v>792</v>
      </c>
      <c r="C763" s="6" t="s">
        <v>793</v>
      </c>
      <c r="D763" s="6" t="s">
        <v>1788</v>
      </c>
      <c r="E763" s="6" t="s">
        <v>1605</v>
      </c>
      <c r="F763" s="6" t="s">
        <v>1606</v>
      </c>
      <c r="G763" s="6" t="s">
        <v>1607</v>
      </c>
      <c r="H763" s="6"/>
      <c r="I763" s="6" t="n">
        <v>1161</v>
      </c>
    </row>
    <row r="764" customFormat="false" ht="23.25" hidden="false" customHeight="true" outlineLevel="0" collapsed="false">
      <c r="A764" s="6" t="s">
        <v>1603</v>
      </c>
      <c r="B764" s="6" t="s">
        <v>794</v>
      </c>
      <c r="C764" s="6" t="s">
        <v>795</v>
      </c>
      <c r="D764" s="6" t="s">
        <v>1788</v>
      </c>
      <c r="E764" s="6" t="s">
        <v>1605</v>
      </c>
      <c r="F764" s="6" t="s">
        <v>1606</v>
      </c>
      <c r="G764" s="6" t="s">
        <v>1607</v>
      </c>
      <c r="H764" s="6"/>
      <c r="I764" s="6" t="n">
        <v>586</v>
      </c>
    </row>
    <row r="765" customFormat="false" ht="23.25" hidden="false" customHeight="true" outlineLevel="0" collapsed="false">
      <c r="A765" s="6" t="s">
        <v>1603</v>
      </c>
      <c r="B765" s="6" t="s">
        <v>796</v>
      </c>
      <c r="C765" s="6" t="s">
        <v>797</v>
      </c>
      <c r="D765" s="6" t="s">
        <v>1788</v>
      </c>
      <c r="E765" s="6" t="s">
        <v>1605</v>
      </c>
      <c r="F765" s="6" t="s">
        <v>1606</v>
      </c>
      <c r="G765" s="6" t="s">
        <v>1607</v>
      </c>
      <c r="H765" s="6"/>
      <c r="I765" s="6" t="n">
        <v>843</v>
      </c>
    </row>
    <row r="766" customFormat="false" ht="23.25" hidden="false" customHeight="true" outlineLevel="0" collapsed="false">
      <c r="A766" s="6" t="s">
        <v>1603</v>
      </c>
      <c r="B766" s="6" t="s">
        <v>798</v>
      </c>
      <c r="C766" s="6" t="s">
        <v>799</v>
      </c>
      <c r="D766" s="6" t="s">
        <v>1788</v>
      </c>
      <c r="E766" s="6" t="s">
        <v>1605</v>
      </c>
      <c r="F766" s="6" t="s">
        <v>1606</v>
      </c>
      <c r="G766" s="6" t="s">
        <v>1632</v>
      </c>
      <c r="H766" s="6" t="s">
        <v>800</v>
      </c>
      <c r="I766" s="6" t="n">
        <v>10</v>
      </c>
    </row>
    <row r="767" customFormat="false" ht="23.25" hidden="false" customHeight="true" outlineLevel="0" collapsed="false">
      <c r="A767" s="6" t="s">
        <v>1603</v>
      </c>
      <c r="B767" s="6" t="s">
        <v>999</v>
      </c>
      <c r="C767" s="6" t="s">
        <v>1000</v>
      </c>
      <c r="D767" s="6" t="s">
        <v>1788</v>
      </c>
      <c r="E767" s="6" t="s">
        <v>1605</v>
      </c>
      <c r="F767" s="6" t="s">
        <v>1606</v>
      </c>
      <c r="G767" s="6" t="s">
        <v>1607</v>
      </c>
      <c r="H767" s="6"/>
      <c r="I767" s="6" t="n">
        <v>2</v>
      </c>
    </row>
    <row r="768" customFormat="false" ht="23.25" hidden="false" customHeight="true" outlineLevel="0" collapsed="false">
      <c r="A768" s="6" t="s">
        <v>1603</v>
      </c>
      <c r="B768" s="6" t="s">
        <v>1003</v>
      </c>
      <c r="C768" s="6" t="s">
        <v>1004</v>
      </c>
      <c r="D768" s="6" t="s">
        <v>1788</v>
      </c>
      <c r="E768" s="6" t="s">
        <v>1605</v>
      </c>
      <c r="F768" s="6" t="s">
        <v>1606</v>
      </c>
      <c r="G768" s="6" t="s">
        <v>1607</v>
      </c>
      <c r="H768" s="6"/>
      <c r="I768" s="6" t="n">
        <v>0</v>
      </c>
    </row>
    <row r="769" customFormat="false" ht="23.25" hidden="false" customHeight="true" outlineLevel="0" collapsed="false">
      <c r="A769" s="6" t="s">
        <v>1603</v>
      </c>
      <c r="B769" s="6" t="s">
        <v>1005</v>
      </c>
      <c r="C769" s="6" t="s">
        <v>1006</v>
      </c>
      <c r="D769" s="6" t="s">
        <v>1788</v>
      </c>
      <c r="E769" s="6" t="s">
        <v>1605</v>
      </c>
      <c r="F769" s="6" t="s">
        <v>1606</v>
      </c>
      <c r="G769" s="6" t="s">
        <v>1607</v>
      </c>
      <c r="H769" s="6"/>
      <c r="I769" s="6" t="n">
        <v>0</v>
      </c>
    </row>
    <row r="770" customFormat="false" ht="23.25" hidden="false" customHeight="true" outlineLevel="0" collapsed="false">
      <c r="A770" s="6" t="s">
        <v>1603</v>
      </c>
      <c r="B770" s="6" t="s">
        <v>1007</v>
      </c>
      <c r="C770" s="6" t="s">
        <v>1008</v>
      </c>
      <c r="D770" s="6" t="s">
        <v>1788</v>
      </c>
      <c r="E770" s="6" t="s">
        <v>1605</v>
      </c>
      <c r="F770" s="6" t="s">
        <v>1606</v>
      </c>
      <c r="G770" s="6" t="s">
        <v>1607</v>
      </c>
      <c r="H770" s="6"/>
      <c r="I770" s="6" t="n">
        <v>1</v>
      </c>
    </row>
    <row r="771" customFormat="false" ht="23.25" hidden="false" customHeight="true" outlineLevel="0" collapsed="false">
      <c r="A771" s="6" t="s">
        <v>1603</v>
      </c>
      <c r="B771" s="6" t="s">
        <v>1009</v>
      </c>
      <c r="C771" s="6" t="s">
        <v>1010</v>
      </c>
      <c r="D771" s="6" t="s">
        <v>1788</v>
      </c>
      <c r="E771" s="6" t="s">
        <v>1605</v>
      </c>
      <c r="F771" s="6" t="s">
        <v>1606</v>
      </c>
      <c r="G771" s="6" t="s">
        <v>1607</v>
      </c>
      <c r="H771" s="6"/>
      <c r="I771" s="6" t="n">
        <v>0</v>
      </c>
    </row>
    <row r="772" customFormat="false" ht="23.25" hidden="false" customHeight="true" outlineLevel="0" collapsed="false">
      <c r="A772" s="6" t="s">
        <v>1603</v>
      </c>
      <c r="B772" s="6" t="s">
        <v>1011</v>
      </c>
      <c r="C772" s="6" t="s">
        <v>1012</v>
      </c>
      <c r="D772" s="6" t="s">
        <v>1788</v>
      </c>
      <c r="E772" s="6" t="s">
        <v>1605</v>
      </c>
      <c r="F772" s="6" t="s">
        <v>1606</v>
      </c>
      <c r="G772" s="6" t="s">
        <v>1607</v>
      </c>
      <c r="H772" s="6"/>
      <c r="I772" s="6" t="n">
        <v>1</v>
      </c>
    </row>
    <row r="773" customFormat="false" ht="23.25" hidden="false" customHeight="true" outlineLevel="0" collapsed="false">
      <c r="A773" s="6" t="s">
        <v>1603</v>
      </c>
      <c r="B773" s="6" t="s">
        <v>1013</v>
      </c>
      <c r="C773" s="6" t="s">
        <v>1014</v>
      </c>
      <c r="D773" s="6" t="s">
        <v>1788</v>
      </c>
      <c r="E773" s="6" t="s">
        <v>1605</v>
      </c>
      <c r="F773" s="6" t="s">
        <v>1606</v>
      </c>
      <c r="G773" s="6" t="s">
        <v>1607</v>
      </c>
      <c r="H773" s="6"/>
      <c r="I773" s="6" t="n">
        <v>14</v>
      </c>
    </row>
    <row r="774" customFormat="false" ht="23.25" hidden="false" customHeight="true" outlineLevel="0" collapsed="false">
      <c r="A774" s="6" t="s">
        <v>1603</v>
      </c>
      <c r="B774" s="6" t="s">
        <v>1013</v>
      </c>
      <c r="C774" s="6" t="s">
        <v>2004</v>
      </c>
      <c r="D774" s="6" t="s">
        <v>1788</v>
      </c>
      <c r="E774" s="6" t="s">
        <v>1605</v>
      </c>
      <c r="F774" s="6" t="s">
        <v>1606</v>
      </c>
      <c r="G774" s="6" t="s">
        <v>1607</v>
      </c>
      <c r="H774" s="6"/>
      <c r="I774" s="6" t="n">
        <v>0</v>
      </c>
    </row>
    <row r="775" customFormat="false" ht="23.25" hidden="false" customHeight="true" outlineLevel="0" collapsed="false">
      <c r="A775" s="6" t="s">
        <v>1603</v>
      </c>
      <c r="B775" s="6" t="s">
        <v>1013</v>
      </c>
      <c r="C775" s="6" t="s">
        <v>2005</v>
      </c>
      <c r="D775" s="6" t="s">
        <v>1788</v>
      </c>
      <c r="E775" s="6" t="s">
        <v>1605</v>
      </c>
      <c r="F775" s="6" t="s">
        <v>1606</v>
      </c>
      <c r="G775" s="6" t="s">
        <v>1607</v>
      </c>
      <c r="H775" s="6"/>
      <c r="I775" s="6" t="n">
        <v>0</v>
      </c>
    </row>
    <row r="776" customFormat="false" ht="23.25" hidden="false" customHeight="true" outlineLevel="0" collapsed="false">
      <c r="A776" s="6" t="s">
        <v>1603</v>
      </c>
      <c r="B776" s="6" t="s">
        <v>1013</v>
      </c>
      <c r="C776" s="6" t="s">
        <v>2006</v>
      </c>
      <c r="D776" s="6" t="s">
        <v>1788</v>
      </c>
      <c r="E776" s="6" t="s">
        <v>1605</v>
      </c>
      <c r="F776" s="6" t="s">
        <v>1606</v>
      </c>
      <c r="G776" s="6" t="s">
        <v>1607</v>
      </c>
      <c r="H776" s="6"/>
      <c r="I776" s="6" t="n">
        <v>0</v>
      </c>
    </row>
    <row r="777" customFormat="false" ht="23.25" hidden="false" customHeight="true" outlineLevel="0" collapsed="false">
      <c r="A777" s="6" t="s">
        <v>1603</v>
      </c>
      <c r="B777" s="6" t="s">
        <v>1013</v>
      </c>
      <c r="C777" s="6" t="s">
        <v>2007</v>
      </c>
      <c r="D777" s="6" t="s">
        <v>1788</v>
      </c>
      <c r="E777" s="6" t="s">
        <v>1605</v>
      </c>
      <c r="F777" s="6" t="s">
        <v>1606</v>
      </c>
      <c r="G777" s="6" t="s">
        <v>1607</v>
      </c>
      <c r="H777" s="6"/>
      <c r="I777" s="6" t="n">
        <v>0</v>
      </c>
    </row>
    <row r="778" customFormat="false" ht="23.25" hidden="false" customHeight="true" outlineLevel="0" collapsed="false">
      <c r="A778" s="6" t="s">
        <v>1603</v>
      </c>
      <c r="B778" s="6" t="s">
        <v>1013</v>
      </c>
      <c r="C778" s="6" t="s">
        <v>2008</v>
      </c>
      <c r="D778" s="6" t="s">
        <v>1788</v>
      </c>
      <c r="E778" s="6" t="s">
        <v>1605</v>
      </c>
      <c r="F778" s="6" t="s">
        <v>1606</v>
      </c>
      <c r="G778" s="6" t="s">
        <v>1607</v>
      </c>
      <c r="H778" s="6"/>
      <c r="I778" s="6" t="n">
        <v>0</v>
      </c>
    </row>
    <row r="779" customFormat="false" ht="23.25" hidden="false" customHeight="true" outlineLevel="0" collapsed="false">
      <c r="A779" s="6" t="s">
        <v>1603</v>
      </c>
      <c r="B779" s="6" t="s">
        <v>1013</v>
      </c>
      <c r="C779" s="6" t="s">
        <v>2009</v>
      </c>
      <c r="D779" s="6" t="s">
        <v>1788</v>
      </c>
      <c r="E779" s="6" t="s">
        <v>1605</v>
      </c>
      <c r="F779" s="6" t="s">
        <v>1606</v>
      </c>
      <c r="G779" s="6" t="s">
        <v>1607</v>
      </c>
      <c r="H779" s="6"/>
      <c r="I779" s="6" t="n">
        <v>0</v>
      </c>
    </row>
    <row r="780" customFormat="false" ht="23.25" hidden="false" customHeight="true" outlineLevel="0" collapsed="false">
      <c r="A780" s="6" t="s">
        <v>1603</v>
      </c>
      <c r="B780" s="6" t="s">
        <v>1013</v>
      </c>
      <c r="C780" s="6" t="s">
        <v>2010</v>
      </c>
      <c r="D780" s="6" t="s">
        <v>1788</v>
      </c>
      <c r="E780" s="6" t="s">
        <v>1605</v>
      </c>
      <c r="F780" s="6" t="s">
        <v>1606</v>
      </c>
      <c r="G780" s="6" t="s">
        <v>1607</v>
      </c>
      <c r="H780" s="6"/>
      <c r="I780" s="6" t="n">
        <v>0</v>
      </c>
    </row>
    <row r="781" customFormat="false" ht="23.25" hidden="false" customHeight="true" outlineLevel="0" collapsed="false">
      <c r="A781" s="6" t="s">
        <v>1603</v>
      </c>
      <c r="B781" s="6" t="s">
        <v>1013</v>
      </c>
      <c r="C781" s="6" t="s">
        <v>2011</v>
      </c>
      <c r="D781" s="6" t="s">
        <v>1788</v>
      </c>
      <c r="E781" s="6" t="s">
        <v>1605</v>
      </c>
      <c r="F781" s="6" t="s">
        <v>1606</v>
      </c>
      <c r="G781" s="6" t="s">
        <v>1607</v>
      </c>
      <c r="H781" s="6"/>
      <c r="I781" s="6" t="n">
        <v>0</v>
      </c>
    </row>
    <row r="782" customFormat="false" ht="23.25" hidden="false" customHeight="true" outlineLevel="0" collapsed="false">
      <c r="A782" s="6" t="s">
        <v>1603</v>
      </c>
      <c r="B782" s="6" t="s">
        <v>1015</v>
      </c>
      <c r="C782" s="6" t="s">
        <v>1016</v>
      </c>
      <c r="D782" s="6" t="s">
        <v>1788</v>
      </c>
      <c r="E782" s="6" t="s">
        <v>1605</v>
      </c>
      <c r="F782" s="6" t="s">
        <v>1606</v>
      </c>
      <c r="G782" s="6" t="s">
        <v>1607</v>
      </c>
      <c r="H782" s="6"/>
      <c r="I782" s="6" t="n">
        <v>0</v>
      </c>
    </row>
    <row r="783" customFormat="false" ht="23.25" hidden="false" customHeight="true" outlineLevel="0" collapsed="false">
      <c r="A783" s="6" t="s">
        <v>1603</v>
      </c>
      <c r="B783" s="6" t="s">
        <v>1015</v>
      </c>
      <c r="C783" s="6" t="s">
        <v>2012</v>
      </c>
      <c r="D783" s="6" t="s">
        <v>1788</v>
      </c>
      <c r="E783" s="6" t="s">
        <v>1605</v>
      </c>
      <c r="F783" s="6" t="s">
        <v>1606</v>
      </c>
      <c r="G783" s="6" t="s">
        <v>1607</v>
      </c>
      <c r="H783" s="6"/>
      <c r="I783" s="6" t="n">
        <v>0</v>
      </c>
    </row>
    <row r="784" customFormat="false" ht="23.25" hidden="false" customHeight="true" outlineLevel="0" collapsed="false">
      <c r="A784" s="6" t="s">
        <v>1603</v>
      </c>
      <c r="B784" s="6" t="s">
        <v>1015</v>
      </c>
      <c r="C784" s="6" t="s">
        <v>2013</v>
      </c>
      <c r="D784" s="6" t="s">
        <v>1788</v>
      </c>
      <c r="E784" s="6" t="s">
        <v>1605</v>
      </c>
      <c r="F784" s="6" t="s">
        <v>1606</v>
      </c>
      <c r="G784" s="6" t="s">
        <v>1607</v>
      </c>
      <c r="H784" s="6"/>
      <c r="I784" s="6" t="n">
        <v>0</v>
      </c>
    </row>
    <row r="785" customFormat="false" ht="23.25" hidden="false" customHeight="true" outlineLevel="0" collapsed="false">
      <c r="A785" s="6" t="s">
        <v>1603</v>
      </c>
      <c r="B785" s="6" t="s">
        <v>1015</v>
      </c>
      <c r="C785" s="6" t="s">
        <v>2014</v>
      </c>
      <c r="D785" s="6" t="s">
        <v>1788</v>
      </c>
      <c r="E785" s="6" t="s">
        <v>1605</v>
      </c>
      <c r="F785" s="6" t="s">
        <v>1606</v>
      </c>
      <c r="G785" s="6" t="s">
        <v>1607</v>
      </c>
      <c r="H785" s="6"/>
      <c r="I785" s="6" t="n">
        <v>0</v>
      </c>
    </row>
    <row r="786" customFormat="false" ht="23.25" hidden="false" customHeight="true" outlineLevel="0" collapsed="false">
      <c r="A786" s="6" t="s">
        <v>1603</v>
      </c>
      <c r="B786" s="6" t="s">
        <v>1017</v>
      </c>
      <c r="C786" s="6" t="s">
        <v>1018</v>
      </c>
      <c r="D786" s="6" t="s">
        <v>1788</v>
      </c>
      <c r="E786" s="6" t="s">
        <v>1605</v>
      </c>
      <c r="F786" s="6" t="s">
        <v>1606</v>
      </c>
      <c r="G786" s="6" t="s">
        <v>1607</v>
      </c>
      <c r="H786" s="6"/>
      <c r="I786" s="6" t="n">
        <v>0</v>
      </c>
    </row>
    <row r="787" customFormat="false" ht="23.25" hidden="false" customHeight="true" outlineLevel="0" collapsed="false">
      <c r="A787" s="6" t="s">
        <v>1603</v>
      </c>
      <c r="B787" s="6" t="s">
        <v>1019</v>
      </c>
      <c r="C787" s="6" t="s">
        <v>1020</v>
      </c>
      <c r="D787" s="6" t="s">
        <v>1788</v>
      </c>
      <c r="E787" s="6" t="s">
        <v>1605</v>
      </c>
      <c r="F787" s="6" t="s">
        <v>1606</v>
      </c>
      <c r="G787" s="6" t="s">
        <v>1607</v>
      </c>
      <c r="H787" s="6"/>
      <c r="I787" s="6" t="n">
        <v>0</v>
      </c>
    </row>
    <row r="788" customFormat="false" ht="23.25" hidden="false" customHeight="true" outlineLevel="0" collapsed="false">
      <c r="A788" s="6" t="s">
        <v>1603</v>
      </c>
      <c r="B788" s="6" t="s">
        <v>1021</v>
      </c>
      <c r="C788" s="6" t="s">
        <v>1022</v>
      </c>
      <c r="D788" s="6" t="s">
        <v>1788</v>
      </c>
      <c r="E788" s="6" t="s">
        <v>1605</v>
      </c>
      <c r="F788" s="6" t="s">
        <v>1606</v>
      </c>
      <c r="G788" s="6" t="s">
        <v>1607</v>
      </c>
      <c r="H788" s="6"/>
      <c r="I788" s="6" t="n">
        <v>1</v>
      </c>
    </row>
    <row r="789" customFormat="false" ht="23.25" hidden="false" customHeight="true" outlineLevel="0" collapsed="false">
      <c r="A789" s="6" t="s">
        <v>1603</v>
      </c>
      <c r="B789" s="6" t="s">
        <v>1023</v>
      </c>
      <c r="C789" s="6" t="s">
        <v>1024</v>
      </c>
      <c r="D789" s="6" t="s">
        <v>1788</v>
      </c>
      <c r="E789" s="6" t="s">
        <v>1605</v>
      </c>
      <c r="F789" s="6" t="s">
        <v>1606</v>
      </c>
      <c r="G789" s="6" t="s">
        <v>1607</v>
      </c>
      <c r="H789" s="6"/>
      <c r="I789" s="6" t="n">
        <v>1</v>
      </c>
    </row>
    <row r="790" customFormat="false" ht="23.25" hidden="false" customHeight="true" outlineLevel="0" collapsed="false">
      <c r="A790" s="6" t="s">
        <v>1603</v>
      </c>
      <c r="B790" s="6" t="s">
        <v>1023</v>
      </c>
      <c r="C790" s="6" t="s">
        <v>2015</v>
      </c>
      <c r="D790" s="6" t="s">
        <v>1788</v>
      </c>
      <c r="E790" s="6" t="s">
        <v>1605</v>
      </c>
      <c r="F790" s="6" t="s">
        <v>1606</v>
      </c>
      <c r="G790" s="6" t="s">
        <v>1607</v>
      </c>
      <c r="H790" s="6"/>
      <c r="I790" s="6" t="n">
        <v>0</v>
      </c>
    </row>
    <row r="791" customFormat="false" ht="23.25" hidden="false" customHeight="true" outlineLevel="0" collapsed="false">
      <c r="A791" s="6" t="s">
        <v>1603</v>
      </c>
      <c r="B791" s="6" t="s">
        <v>1023</v>
      </c>
      <c r="C791" s="6" t="s">
        <v>2016</v>
      </c>
      <c r="D791" s="6" t="s">
        <v>1788</v>
      </c>
      <c r="E791" s="6" t="s">
        <v>1605</v>
      </c>
      <c r="F791" s="6" t="s">
        <v>1606</v>
      </c>
      <c r="G791" s="6" t="s">
        <v>1607</v>
      </c>
      <c r="H791" s="6"/>
      <c r="I791" s="6" t="n">
        <v>0</v>
      </c>
    </row>
    <row r="792" customFormat="false" ht="23.25" hidden="false" customHeight="true" outlineLevel="0" collapsed="false">
      <c r="A792" s="6" t="s">
        <v>1603</v>
      </c>
      <c r="B792" s="6" t="s">
        <v>1025</v>
      </c>
      <c r="C792" s="6" t="s">
        <v>1026</v>
      </c>
      <c r="D792" s="6" t="s">
        <v>1788</v>
      </c>
      <c r="E792" s="6" t="s">
        <v>1605</v>
      </c>
      <c r="F792" s="6" t="s">
        <v>1606</v>
      </c>
      <c r="G792" s="6" t="s">
        <v>1607</v>
      </c>
      <c r="H792" s="6"/>
      <c r="I792" s="6" t="n">
        <v>0</v>
      </c>
    </row>
    <row r="793" customFormat="false" ht="23.25" hidden="false" customHeight="true" outlineLevel="0" collapsed="false">
      <c r="A793" s="6" t="s">
        <v>1603</v>
      </c>
      <c r="B793" s="6" t="s">
        <v>1025</v>
      </c>
      <c r="C793" s="6" t="s">
        <v>2017</v>
      </c>
      <c r="D793" s="6" t="s">
        <v>1788</v>
      </c>
      <c r="E793" s="6" t="s">
        <v>1605</v>
      </c>
      <c r="F793" s="6" t="s">
        <v>1606</v>
      </c>
      <c r="G793" s="6" t="s">
        <v>1607</v>
      </c>
      <c r="H793" s="6"/>
      <c r="I793" s="6" t="n">
        <v>0</v>
      </c>
    </row>
    <row r="794" customFormat="false" ht="23.25" hidden="false" customHeight="true" outlineLevel="0" collapsed="false">
      <c r="A794" s="6" t="s">
        <v>1603</v>
      </c>
      <c r="B794" s="6" t="s">
        <v>1025</v>
      </c>
      <c r="C794" s="6" t="s">
        <v>2018</v>
      </c>
      <c r="D794" s="6" t="s">
        <v>1788</v>
      </c>
      <c r="E794" s="6" t="s">
        <v>1605</v>
      </c>
      <c r="F794" s="6" t="s">
        <v>1606</v>
      </c>
      <c r="G794" s="6" t="s">
        <v>1607</v>
      </c>
      <c r="H794" s="6"/>
      <c r="I794" s="6" t="n">
        <v>0</v>
      </c>
    </row>
    <row r="795" customFormat="false" ht="23.25" hidden="false" customHeight="true" outlineLevel="0" collapsed="false">
      <c r="A795" s="6" t="s">
        <v>1603</v>
      </c>
      <c r="B795" s="6" t="s">
        <v>1025</v>
      </c>
      <c r="C795" s="6" t="s">
        <v>2019</v>
      </c>
      <c r="D795" s="6" t="s">
        <v>1788</v>
      </c>
      <c r="E795" s="6" t="s">
        <v>1605</v>
      </c>
      <c r="F795" s="6" t="s">
        <v>1606</v>
      </c>
      <c r="G795" s="6" t="s">
        <v>1607</v>
      </c>
      <c r="H795" s="6"/>
      <c r="I795" s="6" t="n">
        <v>0</v>
      </c>
    </row>
    <row r="796" customFormat="false" ht="23.25" hidden="false" customHeight="true" outlineLevel="0" collapsed="false">
      <c r="A796" s="6" t="s">
        <v>1603</v>
      </c>
      <c r="B796" s="6" t="s">
        <v>1027</v>
      </c>
      <c r="C796" s="6" t="s">
        <v>1028</v>
      </c>
      <c r="D796" s="6" t="s">
        <v>1788</v>
      </c>
      <c r="E796" s="6" t="s">
        <v>1605</v>
      </c>
      <c r="F796" s="6" t="s">
        <v>1606</v>
      </c>
      <c r="G796" s="6" t="s">
        <v>1632</v>
      </c>
      <c r="H796" s="6" t="s">
        <v>1029</v>
      </c>
      <c r="I796" s="6" t="n">
        <v>9</v>
      </c>
    </row>
    <row r="797" customFormat="false" ht="23.25" hidden="false" customHeight="true" outlineLevel="0" collapsed="false">
      <c r="A797" s="6" t="s">
        <v>1603</v>
      </c>
      <c r="B797" s="6" t="s">
        <v>1030</v>
      </c>
      <c r="C797" s="6" t="s">
        <v>1031</v>
      </c>
      <c r="D797" s="6" t="s">
        <v>1788</v>
      </c>
      <c r="E797" s="6" t="s">
        <v>1605</v>
      </c>
      <c r="F797" s="6" t="s">
        <v>1606</v>
      </c>
      <c r="G797" s="6" t="s">
        <v>1607</v>
      </c>
      <c r="H797" s="6"/>
      <c r="I797" s="6" t="n">
        <v>0</v>
      </c>
    </row>
    <row r="798" customFormat="false" ht="23.25" hidden="false" customHeight="true" outlineLevel="0" collapsed="false">
      <c r="A798" s="6" t="s">
        <v>1603</v>
      </c>
      <c r="B798" s="6" t="s">
        <v>1032</v>
      </c>
      <c r="C798" s="6" t="s">
        <v>1033</v>
      </c>
      <c r="D798" s="6" t="s">
        <v>1788</v>
      </c>
      <c r="E798" s="6" t="s">
        <v>1605</v>
      </c>
      <c r="F798" s="6" t="s">
        <v>1606</v>
      </c>
      <c r="G798" s="6" t="s">
        <v>1607</v>
      </c>
      <c r="H798" s="6"/>
      <c r="I798" s="6" t="n">
        <v>0</v>
      </c>
    </row>
    <row r="799" customFormat="false" ht="23.25" hidden="false" customHeight="true" outlineLevel="0" collapsed="false">
      <c r="A799" s="6" t="s">
        <v>1603</v>
      </c>
      <c r="B799" s="6" t="s">
        <v>1034</v>
      </c>
      <c r="C799" s="6" t="s">
        <v>1035</v>
      </c>
      <c r="D799" s="6" t="s">
        <v>1788</v>
      </c>
      <c r="E799" s="6" t="s">
        <v>1605</v>
      </c>
      <c r="F799" s="6" t="s">
        <v>1606</v>
      </c>
      <c r="G799" s="6" t="s">
        <v>1607</v>
      </c>
      <c r="H799" s="6"/>
      <c r="I799" s="6" t="n">
        <v>0</v>
      </c>
    </row>
    <row r="800" customFormat="false" ht="23.25" hidden="false" customHeight="true" outlineLevel="0" collapsed="false">
      <c r="A800" s="6" t="s">
        <v>1603</v>
      </c>
      <c r="B800" s="6" t="s">
        <v>1034</v>
      </c>
      <c r="C800" s="6" t="s">
        <v>2020</v>
      </c>
      <c r="D800" s="6" t="s">
        <v>1788</v>
      </c>
      <c r="E800" s="6" t="s">
        <v>1605</v>
      </c>
      <c r="F800" s="6" t="s">
        <v>1606</v>
      </c>
      <c r="G800" s="6" t="s">
        <v>1607</v>
      </c>
      <c r="H800" s="6"/>
      <c r="I800" s="6" t="n">
        <v>0</v>
      </c>
    </row>
    <row r="801" customFormat="false" ht="23.25" hidden="false" customHeight="true" outlineLevel="0" collapsed="false">
      <c r="A801" s="6" t="s">
        <v>1603</v>
      </c>
      <c r="B801" s="6" t="s">
        <v>1034</v>
      </c>
      <c r="C801" s="6" t="s">
        <v>2021</v>
      </c>
      <c r="D801" s="6" t="s">
        <v>1788</v>
      </c>
      <c r="E801" s="6" t="s">
        <v>1605</v>
      </c>
      <c r="F801" s="6" t="s">
        <v>1606</v>
      </c>
      <c r="G801" s="6" t="s">
        <v>1607</v>
      </c>
      <c r="H801" s="6"/>
      <c r="I801" s="6" t="n">
        <v>0</v>
      </c>
    </row>
    <row r="802" customFormat="false" ht="23.25" hidden="false" customHeight="true" outlineLevel="0" collapsed="false">
      <c r="A802" s="6" t="s">
        <v>1603</v>
      </c>
      <c r="B802" s="6" t="s">
        <v>1036</v>
      </c>
      <c r="C802" s="6" t="s">
        <v>1037</v>
      </c>
      <c r="D802" s="6" t="s">
        <v>1788</v>
      </c>
      <c r="E802" s="6" t="s">
        <v>1605</v>
      </c>
      <c r="F802" s="6" t="s">
        <v>1606</v>
      </c>
      <c r="G802" s="6" t="s">
        <v>1607</v>
      </c>
      <c r="H802" s="6"/>
      <c r="I802" s="6" t="n">
        <v>0</v>
      </c>
    </row>
    <row r="803" customFormat="false" ht="23.25" hidden="false" customHeight="true" outlineLevel="0" collapsed="false">
      <c r="A803" s="6" t="s">
        <v>1603</v>
      </c>
      <c r="B803" s="6" t="s">
        <v>1038</v>
      </c>
      <c r="C803" s="6" t="s">
        <v>1039</v>
      </c>
      <c r="D803" s="6" t="s">
        <v>1788</v>
      </c>
      <c r="E803" s="6" t="s">
        <v>1605</v>
      </c>
      <c r="F803" s="6" t="s">
        <v>1606</v>
      </c>
      <c r="G803" s="6" t="s">
        <v>1607</v>
      </c>
      <c r="H803" s="6"/>
      <c r="I803" s="6" t="n">
        <v>0</v>
      </c>
    </row>
    <row r="804" customFormat="false" ht="23.25" hidden="false" customHeight="true" outlineLevel="0" collapsed="false">
      <c r="A804" s="6" t="s">
        <v>1603</v>
      </c>
      <c r="B804" s="6" t="s">
        <v>1040</v>
      </c>
      <c r="C804" s="6" t="s">
        <v>1041</v>
      </c>
      <c r="D804" s="6" t="s">
        <v>1788</v>
      </c>
      <c r="E804" s="6" t="s">
        <v>1605</v>
      </c>
      <c r="F804" s="6" t="s">
        <v>1606</v>
      </c>
      <c r="G804" s="6" t="s">
        <v>1607</v>
      </c>
      <c r="H804" s="6"/>
      <c r="I804" s="6" t="n">
        <v>0</v>
      </c>
    </row>
    <row r="805" customFormat="false" ht="23.25" hidden="false" customHeight="true" outlineLevel="0" collapsed="false">
      <c r="A805" s="6" t="s">
        <v>1603</v>
      </c>
      <c r="B805" s="6" t="s">
        <v>1042</v>
      </c>
      <c r="C805" s="6" t="s">
        <v>1043</v>
      </c>
      <c r="D805" s="6" t="s">
        <v>1788</v>
      </c>
      <c r="E805" s="6" t="s">
        <v>1605</v>
      </c>
      <c r="F805" s="6" t="s">
        <v>1606</v>
      </c>
      <c r="G805" s="6" t="s">
        <v>1607</v>
      </c>
      <c r="H805" s="6"/>
      <c r="I805" s="6" t="n">
        <v>0</v>
      </c>
    </row>
    <row r="806" customFormat="false" ht="23.25" hidden="false" customHeight="true" outlineLevel="0" collapsed="false">
      <c r="A806" s="6" t="s">
        <v>1603</v>
      </c>
      <c r="B806" s="6" t="s">
        <v>1044</v>
      </c>
      <c r="C806" s="6" t="s">
        <v>1045</v>
      </c>
      <c r="D806" s="6" t="s">
        <v>1788</v>
      </c>
      <c r="E806" s="6" t="s">
        <v>1605</v>
      </c>
      <c r="F806" s="6" t="s">
        <v>1606</v>
      </c>
      <c r="G806" s="6" t="s">
        <v>1607</v>
      </c>
      <c r="H806" s="6"/>
      <c r="I806" s="6" t="n">
        <v>0</v>
      </c>
    </row>
    <row r="807" customFormat="false" ht="15" hidden="false" customHeight="false" outlineLevel="0" collapsed="false">
      <c r="A807" s="1" t="s">
        <v>2022</v>
      </c>
      <c r="B807" s="1" t="s">
        <v>1499</v>
      </c>
      <c r="C807" s="1" t="s">
        <v>1500</v>
      </c>
      <c r="D807" s="1" t="s">
        <v>1788</v>
      </c>
      <c r="E807" s="1" t="s">
        <v>2023</v>
      </c>
      <c r="F807" s="1" t="s">
        <v>2024</v>
      </c>
      <c r="G807" s="8" t="s">
        <v>1632</v>
      </c>
      <c r="H807" s="1" t="s">
        <v>1502</v>
      </c>
      <c r="I807" s="1" t="n">
        <v>28</v>
      </c>
    </row>
    <row r="808" customFormat="false" ht="15" hidden="false" customHeight="false" outlineLevel="0" collapsed="false">
      <c r="A808" s="1" t="s">
        <v>2022</v>
      </c>
      <c r="B808" s="1" t="s">
        <v>1503</v>
      </c>
      <c r="C808" s="1" t="s">
        <v>1504</v>
      </c>
      <c r="D808" s="1" t="s">
        <v>1788</v>
      </c>
      <c r="E808" s="1" t="s">
        <v>2023</v>
      </c>
      <c r="F808" s="1" t="s">
        <v>2024</v>
      </c>
      <c r="G808" s="8" t="s">
        <v>1632</v>
      </c>
      <c r="H808" s="1" t="s">
        <v>1502</v>
      </c>
      <c r="I808" s="1" t="n">
        <v>6</v>
      </c>
    </row>
    <row r="809" customFormat="false" ht="15" hidden="false" customHeight="false" outlineLevel="0" collapsed="false">
      <c r="A809" s="1" t="s">
        <v>2022</v>
      </c>
      <c r="B809" s="1" t="s">
        <v>1505</v>
      </c>
      <c r="C809" s="1" t="s">
        <v>1506</v>
      </c>
      <c r="D809" s="1" t="s">
        <v>1788</v>
      </c>
      <c r="E809" s="1" t="s">
        <v>2023</v>
      </c>
      <c r="F809" s="1" t="s">
        <v>2024</v>
      </c>
      <c r="G809" s="8" t="s">
        <v>1632</v>
      </c>
      <c r="H809" s="1" t="s">
        <v>1502</v>
      </c>
      <c r="I809" s="1" t="n">
        <v>6</v>
      </c>
    </row>
    <row r="810" customFormat="false" ht="15" hidden="false" customHeight="false" outlineLevel="0" collapsed="false">
      <c r="A810" s="1" t="s">
        <v>2022</v>
      </c>
      <c r="B810" s="1" t="s">
        <v>1507</v>
      </c>
      <c r="C810" s="1" t="s">
        <v>1508</v>
      </c>
      <c r="D810" s="1" t="s">
        <v>1788</v>
      </c>
      <c r="E810" s="1" t="s">
        <v>2023</v>
      </c>
      <c r="F810" s="1" t="s">
        <v>2024</v>
      </c>
      <c r="G810" s="8" t="s">
        <v>1607</v>
      </c>
      <c r="I810" s="1" t="n">
        <v>31</v>
      </c>
    </row>
    <row r="811" customFormat="false" ht="15" hidden="false" customHeight="false" outlineLevel="0" collapsed="false">
      <c r="A811" s="1" t="s">
        <v>2022</v>
      </c>
      <c r="B811" s="1" t="s">
        <v>1509</v>
      </c>
      <c r="C811" s="1" t="s">
        <v>1510</v>
      </c>
      <c r="D811" s="1" t="s">
        <v>1788</v>
      </c>
      <c r="E811" s="1" t="s">
        <v>2023</v>
      </c>
      <c r="F811" s="1" t="s">
        <v>2024</v>
      </c>
      <c r="G811" s="8" t="s">
        <v>1632</v>
      </c>
      <c r="H811" s="1" t="s">
        <v>1511</v>
      </c>
      <c r="I811" s="1" t="n">
        <v>617</v>
      </c>
    </row>
    <row r="812" customFormat="false" ht="15" hidden="false" customHeight="false" outlineLevel="0" collapsed="false">
      <c r="A812" s="1" t="s">
        <v>2022</v>
      </c>
      <c r="B812" s="1" t="s">
        <v>1512</v>
      </c>
      <c r="C812" s="1" t="s">
        <v>1513</v>
      </c>
      <c r="D812" s="1" t="s">
        <v>1788</v>
      </c>
      <c r="E812" s="1" t="s">
        <v>2023</v>
      </c>
      <c r="F812" s="1" t="s">
        <v>2024</v>
      </c>
      <c r="G812" s="8" t="s">
        <v>1632</v>
      </c>
      <c r="H812" s="1" t="s">
        <v>1511</v>
      </c>
      <c r="I812" s="1" t="n">
        <v>587</v>
      </c>
    </row>
    <row r="813" customFormat="false" ht="15" hidden="false" customHeight="false" outlineLevel="0" collapsed="false">
      <c r="A813" s="1" t="s">
        <v>2022</v>
      </c>
      <c r="B813" s="1" t="s">
        <v>1514</v>
      </c>
      <c r="C813" s="1" t="s">
        <v>1515</v>
      </c>
      <c r="D813" s="1" t="s">
        <v>1788</v>
      </c>
      <c r="E813" s="1" t="s">
        <v>2023</v>
      </c>
      <c r="F813" s="1" t="s">
        <v>2024</v>
      </c>
      <c r="G813" s="8" t="s">
        <v>1632</v>
      </c>
      <c r="H813" s="1" t="s">
        <v>1511</v>
      </c>
      <c r="I813" s="1" t="n">
        <v>604</v>
      </c>
    </row>
    <row r="814" customFormat="false" ht="15" hidden="false" customHeight="false" outlineLevel="0" collapsed="false">
      <c r="A814" s="1" t="s">
        <v>2022</v>
      </c>
      <c r="B814" s="1" t="s">
        <v>1516</v>
      </c>
      <c r="C814" s="1" t="s">
        <v>1517</v>
      </c>
      <c r="D814" s="1" t="s">
        <v>1788</v>
      </c>
      <c r="E814" s="1" t="s">
        <v>2023</v>
      </c>
      <c r="F814" s="1" t="s">
        <v>2024</v>
      </c>
      <c r="G814" s="8" t="s">
        <v>1607</v>
      </c>
      <c r="I814" s="1" t="n">
        <v>833</v>
      </c>
    </row>
    <row r="815" customFormat="false" ht="15" hidden="false" customHeight="false" outlineLevel="0" collapsed="false">
      <c r="A815" s="1" t="s">
        <v>2022</v>
      </c>
      <c r="B815" s="1" t="s">
        <v>1518</v>
      </c>
      <c r="C815" s="1" t="s">
        <v>1519</v>
      </c>
      <c r="D815" s="1" t="s">
        <v>1788</v>
      </c>
      <c r="E815" s="1" t="s">
        <v>2023</v>
      </c>
      <c r="F815" s="1" t="s">
        <v>2024</v>
      </c>
      <c r="G815" s="8" t="s">
        <v>1607</v>
      </c>
      <c r="I815" s="1" t="n">
        <v>3</v>
      </c>
    </row>
    <row r="816" customFormat="false" ht="15" hidden="false" customHeight="false" outlineLevel="0" collapsed="false">
      <c r="A816" s="1" t="s">
        <v>2022</v>
      </c>
      <c r="B816" s="1" t="s">
        <v>1520</v>
      </c>
      <c r="C816" s="1" t="s">
        <v>1521</v>
      </c>
      <c r="D816" s="1" t="s">
        <v>1788</v>
      </c>
      <c r="E816" s="1" t="s">
        <v>2023</v>
      </c>
      <c r="F816" s="1" t="s">
        <v>2024</v>
      </c>
      <c r="G816" s="8" t="s">
        <v>1607</v>
      </c>
      <c r="I816" s="1" t="n">
        <v>4</v>
      </c>
    </row>
    <row r="817" customFormat="false" ht="15" hidden="false" customHeight="false" outlineLevel="0" collapsed="false">
      <c r="A817" s="1" t="s">
        <v>2022</v>
      </c>
      <c r="B817" s="1" t="s">
        <v>1522</v>
      </c>
      <c r="C817" s="1" t="s">
        <v>1523</v>
      </c>
      <c r="D817" s="1" t="s">
        <v>1788</v>
      </c>
      <c r="E817" s="1" t="s">
        <v>2023</v>
      </c>
      <c r="F817" s="1" t="s">
        <v>2024</v>
      </c>
      <c r="G817" s="8" t="s">
        <v>1607</v>
      </c>
      <c r="I817" s="1" t="n">
        <v>3</v>
      </c>
    </row>
    <row r="818" customFormat="false" ht="15" hidden="false" customHeight="false" outlineLevel="0" collapsed="false">
      <c r="A818" s="1" t="s">
        <v>2022</v>
      </c>
      <c r="B818" s="1" t="s">
        <v>1524</v>
      </c>
      <c r="C818" s="1" t="s">
        <v>1525</v>
      </c>
      <c r="D818" s="1" t="s">
        <v>1788</v>
      </c>
      <c r="E818" s="1" t="s">
        <v>2023</v>
      </c>
      <c r="F818" s="1" t="s">
        <v>2024</v>
      </c>
      <c r="G818" s="8" t="s">
        <v>1607</v>
      </c>
      <c r="I818" s="1" t="n">
        <v>50</v>
      </c>
    </row>
    <row r="819" customFormat="false" ht="15" hidden="false" customHeight="false" outlineLevel="0" collapsed="false">
      <c r="A819" s="1" t="s">
        <v>2022</v>
      </c>
      <c r="B819" s="1" t="s">
        <v>1526</v>
      </c>
      <c r="C819" s="1" t="s">
        <v>1527</v>
      </c>
      <c r="D819" s="1" t="s">
        <v>1788</v>
      </c>
      <c r="E819" s="1" t="s">
        <v>2023</v>
      </c>
      <c r="F819" s="1" t="s">
        <v>2024</v>
      </c>
      <c r="G819" s="8" t="s">
        <v>1607</v>
      </c>
      <c r="I819" s="1" t="n">
        <v>16</v>
      </c>
    </row>
    <row r="820" customFormat="false" ht="15" hidden="false" customHeight="false" outlineLevel="0" collapsed="false">
      <c r="A820" s="1" t="s">
        <v>2022</v>
      </c>
      <c r="B820" s="1" t="s">
        <v>1528</v>
      </c>
      <c r="C820" s="1" t="s">
        <v>1529</v>
      </c>
      <c r="D820" s="1" t="s">
        <v>1788</v>
      </c>
      <c r="E820" s="1" t="s">
        <v>2023</v>
      </c>
      <c r="F820" s="1" t="s">
        <v>2024</v>
      </c>
      <c r="G820" s="8" t="s">
        <v>1607</v>
      </c>
      <c r="I820" s="1" t="n">
        <v>2</v>
      </c>
    </row>
    <row r="821" customFormat="false" ht="15" hidden="false" customHeight="false" outlineLevel="0" collapsed="false">
      <c r="A821" s="1" t="s">
        <v>2022</v>
      </c>
      <c r="B821" s="1" t="s">
        <v>1531</v>
      </c>
      <c r="C821" s="1" t="s">
        <v>1532</v>
      </c>
      <c r="D821" s="1" t="s">
        <v>1788</v>
      </c>
      <c r="E821" s="1" t="s">
        <v>2023</v>
      </c>
      <c r="F821" s="1" t="s">
        <v>2024</v>
      </c>
      <c r="G821" s="8" t="s">
        <v>1607</v>
      </c>
      <c r="I821" s="1" t="n">
        <v>1</v>
      </c>
    </row>
    <row r="822" customFormat="false" ht="15" hidden="false" customHeight="false" outlineLevel="0" collapsed="false">
      <c r="A822" s="1" t="s">
        <v>2022</v>
      </c>
      <c r="B822" s="1" t="s">
        <v>1533</v>
      </c>
      <c r="C822" s="1" t="s">
        <v>1534</v>
      </c>
      <c r="D822" s="1" t="s">
        <v>1788</v>
      </c>
      <c r="E822" s="1" t="s">
        <v>2023</v>
      </c>
      <c r="F822" s="1" t="s">
        <v>2024</v>
      </c>
      <c r="G822" s="8" t="s">
        <v>1607</v>
      </c>
      <c r="I822" s="1" t="n">
        <v>1</v>
      </c>
    </row>
    <row r="823" customFormat="false" ht="15" hidden="false" customHeight="false" outlineLevel="0" collapsed="false">
      <c r="A823" s="1" t="s">
        <v>2022</v>
      </c>
      <c r="B823" s="1" t="s">
        <v>1535</v>
      </c>
      <c r="C823" s="1" t="s">
        <v>1536</v>
      </c>
      <c r="D823" s="1" t="s">
        <v>1788</v>
      </c>
      <c r="E823" s="1" t="s">
        <v>2023</v>
      </c>
      <c r="F823" s="1" t="s">
        <v>2024</v>
      </c>
      <c r="G823" s="8" t="s">
        <v>1607</v>
      </c>
      <c r="I823" s="1" t="n">
        <v>1</v>
      </c>
    </row>
    <row r="824" customFormat="false" ht="15" hidden="false" customHeight="false" outlineLevel="0" collapsed="false">
      <c r="A824" s="1" t="s">
        <v>2022</v>
      </c>
      <c r="B824" s="1" t="s">
        <v>1537</v>
      </c>
      <c r="C824" s="1" t="s">
        <v>1538</v>
      </c>
      <c r="D824" s="1" t="s">
        <v>1788</v>
      </c>
      <c r="E824" s="1" t="s">
        <v>2023</v>
      </c>
      <c r="F824" s="1" t="s">
        <v>2024</v>
      </c>
      <c r="G824" s="8" t="s">
        <v>1607</v>
      </c>
      <c r="I824" s="1" t="n">
        <v>5</v>
      </c>
    </row>
    <row r="825" customFormat="false" ht="15" hidden="false" customHeight="false" outlineLevel="0" collapsed="false">
      <c r="A825" s="1" t="s">
        <v>2022</v>
      </c>
      <c r="B825" s="1" t="s">
        <v>1539</v>
      </c>
      <c r="C825" s="1" t="s">
        <v>1540</v>
      </c>
      <c r="D825" s="1" t="s">
        <v>1788</v>
      </c>
      <c r="E825" s="1" t="s">
        <v>2023</v>
      </c>
      <c r="F825" s="1" t="s">
        <v>2024</v>
      </c>
      <c r="G825" s="8" t="s">
        <v>1607</v>
      </c>
      <c r="I825" s="1" t="n">
        <v>2</v>
      </c>
    </row>
    <row r="826" customFormat="false" ht="15" hidden="false" customHeight="false" outlineLevel="0" collapsed="false">
      <c r="A826" s="1" t="s">
        <v>2022</v>
      </c>
      <c r="B826" s="1" t="s">
        <v>1541</v>
      </c>
      <c r="C826" s="1" t="s">
        <v>1542</v>
      </c>
      <c r="D826" s="1" t="s">
        <v>1788</v>
      </c>
      <c r="E826" s="1" t="s">
        <v>2023</v>
      </c>
      <c r="F826" s="1" t="s">
        <v>2024</v>
      </c>
      <c r="G826" s="8" t="s">
        <v>1607</v>
      </c>
      <c r="I826" s="1" t="n">
        <v>1</v>
      </c>
    </row>
    <row r="827" customFormat="false" ht="15" hidden="false" customHeight="false" outlineLevel="0" collapsed="false">
      <c r="A827" s="1" t="s">
        <v>2022</v>
      </c>
      <c r="B827" s="1" t="s">
        <v>1543</v>
      </c>
      <c r="C827" s="1" t="s">
        <v>1544</v>
      </c>
      <c r="D827" s="1" t="s">
        <v>1788</v>
      </c>
      <c r="E827" s="1" t="s">
        <v>2023</v>
      </c>
      <c r="F827" s="1" t="s">
        <v>2024</v>
      </c>
      <c r="G827" s="8" t="s">
        <v>1607</v>
      </c>
      <c r="I827" s="1" t="n">
        <v>0</v>
      </c>
    </row>
    <row r="828" customFormat="false" ht="15" hidden="false" customHeight="false" outlineLevel="0" collapsed="false">
      <c r="A828" s="1" t="s">
        <v>2022</v>
      </c>
      <c r="B828" s="1" t="s">
        <v>1545</v>
      </c>
      <c r="C828" s="1" t="s">
        <v>1546</v>
      </c>
      <c r="D828" s="1" t="s">
        <v>1788</v>
      </c>
      <c r="E828" s="1" t="s">
        <v>2023</v>
      </c>
      <c r="F828" s="1" t="s">
        <v>2024</v>
      </c>
      <c r="G828" s="8" t="s">
        <v>1607</v>
      </c>
      <c r="I828" s="1" t="n">
        <v>2</v>
      </c>
    </row>
    <row r="829" customFormat="false" ht="15" hidden="false" customHeight="false" outlineLevel="0" collapsed="false">
      <c r="A829" s="1" t="s">
        <v>2022</v>
      </c>
      <c r="B829" s="1" t="s">
        <v>1547</v>
      </c>
      <c r="C829" s="1" t="s">
        <v>1548</v>
      </c>
      <c r="D829" s="1" t="s">
        <v>1788</v>
      </c>
      <c r="E829" s="1" t="s">
        <v>2023</v>
      </c>
      <c r="F829" s="1" t="s">
        <v>2024</v>
      </c>
      <c r="G829" s="8" t="s">
        <v>1607</v>
      </c>
      <c r="I829" s="1" t="n">
        <v>4</v>
      </c>
    </row>
    <row r="830" customFormat="false" ht="15" hidden="false" customHeight="false" outlineLevel="0" collapsed="false">
      <c r="A830" s="1" t="s">
        <v>2022</v>
      </c>
      <c r="B830" s="1" t="s">
        <v>1549</v>
      </c>
      <c r="C830" s="1" t="s">
        <v>1550</v>
      </c>
      <c r="D830" s="1" t="s">
        <v>1768</v>
      </c>
      <c r="E830" s="1" t="s">
        <v>2023</v>
      </c>
      <c r="F830" s="1" t="s">
        <v>2024</v>
      </c>
      <c r="G830" s="8" t="s">
        <v>1607</v>
      </c>
      <c r="I830" s="1" t="n">
        <v>171</v>
      </c>
    </row>
    <row r="831" customFormat="false" ht="15" hidden="false" customHeight="false" outlineLevel="0" collapsed="false">
      <c r="A831" s="1" t="s">
        <v>2022</v>
      </c>
      <c r="B831" s="1" t="s">
        <v>1553</v>
      </c>
      <c r="C831" s="1" t="s">
        <v>1554</v>
      </c>
      <c r="D831" s="1" t="s">
        <v>1768</v>
      </c>
      <c r="E831" s="1" t="s">
        <v>2023</v>
      </c>
      <c r="F831" s="1" t="s">
        <v>2024</v>
      </c>
      <c r="G831" s="8" t="s">
        <v>1607</v>
      </c>
      <c r="I831" s="1" t="n">
        <v>79</v>
      </c>
    </row>
    <row r="832" customFormat="false" ht="15" hidden="false" customHeight="false" outlineLevel="0" collapsed="false">
      <c r="A832" s="1" t="s">
        <v>2022</v>
      </c>
      <c r="B832" s="1" t="s">
        <v>1555</v>
      </c>
      <c r="C832" s="1" t="s">
        <v>1556</v>
      </c>
      <c r="D832" s="1" t="s">
        <v>1768</v>
      </c>
      <c r="E832" s="1" t="s">
        <v>2023</v>
      </c>
      <c r="F832" s="1" t="s">
        <v>2024</v>
      </c>
      <c r="G832" s="8" t="s">
        <v>1607</v>
      </c>
      <c r="I832" s="1" t="n">
        <v>36</v>
      </c>
    </row>
    <row r="833" customFormat="false" ht="15" hidden="false" customHeight="false" outlineLevel="0" collapsed="false">
      <c r="A833" s="1" t="s">
        <v>2022</v>
      </c>
      <c r="B833" s="1" t="s">
        <v>1557</v>
      </c>
      <c r="C833" s="1" t="s">
        <v>1558</v>
      </c>
      <c r="D833" s="1" t="s">
        <v>1768</v>
      </c>
      <c r="E833" s="1" t="s">
        <v>2023</v>
      </c>
      <c r="F833" s="1" t="s">
        <v>2024</v>
      </c>
      <c r="G833" s="8" t="s">
        <v>1607</v>
      </c>
      <c r="I833" s="1" t="n">
        <v>106</v>
      </c>
    </row>
    <row r="834" customFormat="false" ht="15" hidden="false" customHeight="false" outlineLevel="0" collapsed="false">
      <c r="A834" s="1" t="s">
        <v>2022</v>
      </c>
      <c r="B834" s="1" t="s">
        <v>1559</v>
      </c>
      <c r="C834" s="1" t="s">
        <v>1560</v>
      </c>
      <c r="D834" s="1" t="s">
        <v>1768</v>
      </c>
      <c r="E834" s="1" t="s">
        <v>2023</v>
      </c>
      <c r="F834" s="1" t="s">
        <v>2024</v>
      </c>
      <c r="G834" s="8" t="s">
        <v>1607</v>
      </c>
      <c r="I834" s="1" t="n">
        <v>30</v>
      </c>
    </row>
    <row r="835" customFormat="false" ht="15" hidden="false" customHeight="false" outlineLevel="0" collapsed="false">
      <c r="A835" s="1" t="s">
        <v>2022</v>
      </c>
      <c r="B835" s="1" t="s">
        <v>1561</v>
      </c>
      <c r="C835" s="1" t="s">
        <v>1562</v>
      </c>
      <c r="D835" s="1" t="s">
        <v>1768</v>
      </c>
      <c r="E835" s="1" t="s">
        <v>2023</v>
      </c>
      <c r="F835" s="1" t="s">
        <v>2024</v>
      </c>
      <c r="G835" s="8" t="s">
        <v>1607</v>
      </c>
      <c r="I835" s="1" t="n">
        <v>139</v>
      </c>
    </row>
    <row r="836" customFormat="false" ht="15" hidden="false" customHeight="false" outlineLevel="0" collapsed="false">
      <c r="A836" s="1" t="s">
        <v>2022</v>
      </c>
      <c r="B836" s="1" t="s">
        <v>1563</v>
      </c>
      <c r="C836" s="1" t="s">
        <v>1564</v>
      </c>
      <c r="D836" s="1" t="s">
        <v>1768</v>
      </c>
      <c r="E836" s="1" t="s">
        <v>2023</v>
      </c>
      <c r="F836" s="1" t="s">
        <v>2024</v>
      </c>
      <c r="G836" s="8" t="s">
        <v>1607</v>
      </c>
      <c r="I836" s="1" t="n">
        <v>172</v>
      </c>
    </row>
    <row r="837" customFormat="false" ht="15" hidden="false" customHeight="false" outlineLevel="0" collapsed="false">
      <c r="A837" s="1" t="s">
        <v>2022</v>
      </c>
      <c r="B837" s="1" t="s">
        <v>1566</v>
      </c>
      <c r="C837" s="1" t="s">
        <v>1567</v>
      </c>
      <c r="D837" s="1" t="s">
        <v>1768</v>
      </c>
      <c r="E837" s="1" t="s">
        <v>2023</v>
      </c>
      <c r="F837" s="1" t="s">
        <v>2024</v>
      </c>
      <c r="G837" s="8" t="s">
        <v>1607</v>
      </c>
      <c r="I837" s="1" t="n">
        <v>52</v>
      </c>
    </row>
    <row r="838" customFormat="false" ht="15" hidden="false" customHeight="false" outlineLevel="0" collapsed="false">
      <c r="A838" s="1" t="s">
        <v>2022</v>
      </c>
      <c r="B838" s="1" t="s">
        <v>1568</v>
      </c>
      <c r="C838" s="1" t="s">
        <v>1569</v>
      </c>
      <c r="D838" s="1" t="s">
        <v>1768</v>
      </c>
      <c r="E838" s="1" t="s">
        <v>2023</v>
      </c>
      <c r="F838" s="1" t="s">
        <v>2024</v>
      </c>
      <c r="G838" s="8" t="s">
        <v>1607</v>
      </c>
      <c r="I838" s="1" t="n">
        <v>17</v>
      </c>
    </row>
    <row r="839" customFormat="false" ht="15" hidden="false" customHeight="false" outlineLevel="0" collapsed="false">
      <c r="A839" s="1" t="s">
        <v>2022</v>
      </c>
      <c r="B839" s="1" t="s">
        <v>1570</v>
      </c>
      <c r="C839" s="1" t="s">
        <v>1571</v>
      </c>
      <c r="D839" s="1" t="s">
        <v>1768</v>
      </c>
      <c r="E839" s="1" t="s">
        <v>2023</v>
      </c>
      <c r="F839" s="1" t="s">
        <v>2024</v>
      </c>
      <c r="G839" s="8" t="s">
        <v>1607</v>
      </c>
      <c r="I839" s="1" t="n">
        <v>170</v>
      </c>
    </row>
    <row r="840" customFormat="false" ht="15" hidden="false" customHeight="false" outlineLevel="0" collapsed="false">
      <c r="A840" s="1" t="s">
        <v>2022</v>
      </c>
      <c r="B840" s="1" t="s">
        <v>1572</v>
      </c>
      <c r="C840" s="1" t="s">
        <v>1573</v>
      </c>
      <c r="D840" s="1" t="s">
        <v>1768</v>
      </c>
      <c r="E840" s="1" t="s">
        <v>2023</v>
      </c>
      <c r="F840" s="1" t="s">
        <v>2024</v>
      </c>
      <c r="G840" s="8" t="s">
        <v>1607</v>
      </c>
      <c r="I840" s="1" t="n">
        <v>559</v>
      </c>
    </row>
    <row r="841" customFormat="false" ht="15" hidden="false" customHeight="false" outlineLevel="0" collapsed="false">
      <c r="A841" s="1" t="s">
        <v>2022</v>
      </c>
      <c r="B841" s="1" t="s">
        <v>1574</v>
      </c>
      <c r="C841" s="1" t="s">
        <v>1575</v>
      </c>
      <c r="D841" s="1" t="s">
        <v>1768</v>
      </c>
      <c r="E841" s="1" t="s">
        <v>2023</v>
      </c>
      <c r="F841" s="1" t="s">
        <v>2024</v>
      </c>
      <c r="G841" s="8" t="s">
        <v>1607</v>
      </c>
      <c r="I841" s="1" t="n">
        <v>236</v>
      </c>
    </row>
    <row r="842" customFormat="false" ht="15" hidden="false" customHeight="false" outlineLevel="0" collapsed="false">
      <c r="A842" s="1" t="s">
        <v>2022</v>
      </c>
      <c r="B842" s="1" t="s">
        <v>1576</v>
      </c>
      <c r="C842" s="1" t="s">
        <v>1577</v>
      </c>
      <c r="D842" s="1" t="s">
        <v>1768</v>
      </c>
      <c r="E842" s="1" t="s">
        <v>2023</v>
      </c>
      <c r="F842" s="1" t="s">
        <v>2024</v>
      </c>
      <c r="G842" s="8" t="s">
        <v>1607</v>
      </c>
      <c r="I842" s="1" t="n">
        <v>65</v>
      </c>
    </row>
    <row r="843" customFormat="false" ht="15" hidden="false" customHeight="false" outlineLevel="0" collapsed="false">
      <c r="A843" s="1" t="s">
        <v>2022</v>
      </c>
      <c r="B843" s="1" t="s">
        <v>1579</v>
      </c>
      <c r="C843" s="1" t="s">
        <v>1580</v>
      </c>
      <c r="D843" s="1" t="s">
        <v>1768</v>
      </c>
      <c r="E843" s="1" t="s">
        <v>2023</v>
      </c>
      <c r="F843" s="1" t="s">
        <v>2024</v>
      </c>
      <c r="G843" s="8" t="s">
        <v>1607</v>
      </c>
      <c r="I843" s="1" t="n">
        <v>15</v>
      </c>
    </row>
    <row r="844" customFormat="false" ht="15" hidden="false" customHeight="false" outlineLevel="0" collapsed="false">
      <c r="A844" s="1" t="s">
        <v>2022</v>
      </c>
      <c r="B844" s="1" t="s">
        <v>1581</v>
      </c>
      <c r="C844" s="1" t="s">
        <v>1582</v>
      </c>
      <c r="D844" s="1" t="s">
        <v>1768</v>
      </c>
      <c r="E844" s="1" t="s">
        <v>2023</v>
      </c>
      <c r="F844" s="1" t="s">
        <v>2024</v>
      </c>
      <c r="G844" s="8" t="s">
        <v>1607</v>
      </c>
      <c r="I844" s="1" t="n">
        <v>41</v>
      </c>
    </row>
    <row r="845" customFormat="false" ht="15" hidden="false" customHeight="false" outlineLevel="0" collapsed="false">
      <c r="A845" s="1" t="s">
        <v>2022</v>
      </c>
      <c r="B845" s="1" t="s">
        <v>1583</v>
      </c>
      <c r="C845" s="1" t="s">
        <v>1584</v>
      </c>
      <c r="D845" s="1" t="s">
        <v>1768</v>
      </c>
      <c r="E845" s="1" t="s">
        <v>2023</v>
      </c>
      <c r="F845" s="1" t="s">
        <v>2024</v>
      </c>
      <c r="G845" s="8" t="s">
        <v>1607</v>
      </c>
      <c r="I845" s="1" t="n">
        <v>171</v>
      </c>
    </row>
    <row r="846" customFormat="false" ht="15" hidden="false" customHeight="false" outlineLevel="0" collapsed="false">
      <c r="A846" s="1" t="s">
        <v>2022</v>
      </c>
      <c r="B846" s="1" t="s">
        <v>1585</v>
      </c>
      <c r="C846" s="1" t="s">
        <v>1586</v>
      </c>
      <c r="D846" s="1" t="s">
        <v>1768</v>
      </c>
      <c r="E846" s="1" t="s">
        <v>2023</v>
      </c>
      <c r="F846" s="1" t="s">
        <v>2024</v>
      </c>
      <c r="G846" s="8" t="s">
        <v>1607</v>
      </c>
      <c r="I846" s="1" t="n">
        <v>84</v>
      </c>
    </row>
    <row r="847" customFormat="false" ht="15" hidden="false" customHeight="false" outlineLevel="0" collapsed="false">
      <c r="A847" s="1" t="s">
        <v>2022</v>
      </c>
      <c r="B847" s="1" t="s">
        <v>1587</v>
      </c>
      <c r="C847" s="1" t="s">
        <v>1588</v>
      </c>
      <c r="D847" s="1" t="s">
        <v>1768</v>
      </c>
      <c r="E847" s="1" t="s">
        <v>2023</v>
      </c>
      <c r="F847" s="1" t="s">
        <v>2024</v>
      </c>
      <c r="G847" s="8" t="s">
        <v>1607</v>
      </c>
      <c r="I847" s="1" t="n">
        <v>51</v>
      </c>
    </row>
    <row r="848" customFormat="false" ht="15" hidden="false" customHeight="false" outlineLevel="0" collapsed="false">
      <c r="A848" s="1" t="s">
        <v>2022</v>
      </c>
      <c r="B848" s="1" t="s">
        <v>1589</v>
      </c>
      <c r="C848" s="1" t="s">
        <v>1590</v>
      </c>
      <c r="D848" s="1" t="s">
        <v>1768</v>
      </c>
      <c r="E848" s="1" t="s">
        <v>2023</v>
      </c>
      <c r="F848" s="1" t="s">
        <v>2024</v>
      </c>
      <c r="G848" s="8" t="s">
        <v>1607</v>
      </c>
      <c r="I848" s="1" t="n">
        <v>101</v>
      </c>
    </row>
    <row r="849" customFormat="false" ht="15" hidden="false" customHeight="false" outlineLevel="0" collapsed="false">
      <c r="A849" s="1" t="s">
        <v>2022</v>
      </c>
      <c r="B849" s="1" t="s">
        <v>1591</v>
      </c>
      <c r="C849" s="1" t="s">
        <v>1592</v>
      </c>
      <c r="D849" s="1" t="s">
        <v>1768</v>
      </c>
      <c r="E849" s="1" t="s">
        <v>2023</v>
      </c>
      <c r="F849" s="1" t="s">
        <v>2024</v>
      </c>
      <c r="G849" s="8" t="s">
        <v>1607</v>
      </c>
      <c r="I849" s="1" t="n">
        <v>80</v>
      </c>
    </row>
    <row r="850" customFormat="false" ht="15" hidden="false" customHeight="false" outlineLevel="0" collapsed="false">
      <c r="A850" s="1" t="s">
        <v>2022</v>
      </c>
      <c r="B850" s="1" t="s">
        <v>1593</v>
      </c>
      <c r="C850" s="1" t="s">
        <v>1594</v>
      </c>
      <c r="D850" s="1" t="s">
        <v>1768</v>
      </c>
      <c r="E850" s="1" t="s">
        <v>2023</v>
      </c>
      <c r="F850" s="1" t="s">
        <v>2024</v>
      </c>
      <c r="G850" s="8" t="s">
        <v>1607</v>
      </c>
      <c r="I850" s="1" t="n">
        <v>200</v>
      </c>
    </row>
    <row r="851" customFormat="false" ht="15" hidden="false" customHeight="false" outlineLevel="0" collapsed="false">
      <c r="A851" s="1" t="s">
        <v>2025</v>
      </c>
      <c r="B851" s="1" t="s">
        <v>831</v>
      </c>
      <c r="C851" s="1" t="s">
        <v>832</v>
      </c>
      <c r="D851" s="1" t="s">
        <v>1604</v>
      </c>
      <c r="E851" s="1" t="s">
        <v>2023</v>
      </c>
      <c r="F851" s="1" t="s">
        <v>2026</v>
      </c>
      <c r="G851" s="8" t="s">
        <v>1607</v>
      </c>
      <c r="I851" s="1" t="n">
        <v>3</v>
      </c>
    </row>
    <row r="852" customFormat="false" ht="15" hidden="false" customHeight="false" outlineLevel="0" collapsed="false">
      <c r="A852" s="1" t="s">
        <v>2025</v>
      </c>
      <c r="B852" s="1" t="s">
        <v>836</v>
      </c>
      <c r="C852" s="1" t="s">
        <v>837</v>
      </c>
      <c r="D852" s="1" t="s">
        <v>1604</v>
      </c>
      <c r="E852" s="1" t="s">
        <v>2023</v>
      </c>
      <c r="F852" s="1" t="s">
        <v>2026</v>
      </c>
      <c r="G852" s="8" t="s">
        <v>1607</v>
      </c>
      <c r="I852" s="1" t="n">
        <v>0</v>
      </c>
    </row>
    <row r="853" customFormat="false" ht="15" hidden="false" customHeight="false" outlineLevel="0" collapsed="false">
      <c r="A853" s="1" t="s">
        <v>2025</v>
      </c>
      <c r="B853" s="1" t="s">
        <v>838</v>
      </c>
      <c r="C853" s="1" t="s">
        <v>839</v>
      </c>
      <c r="D853" s="1" t="s">
        <v>1604</v>
      </c>
      <c r="E853" s="1" t="s">
        <v>2023</v>
      </c>
      <c r="F853" s="1" t="s">
        <v>2026</v>
      </c>
      <c r="G853" s="8" t="s">
        <v>1607</v>
      </c>
      <c r="I853" s="1" t="n">
        <v>0</v>
      </c>
    </row>
    <row r="854" customFormat="false" ht="15" hidden="false" customHeight="false" outlineLevel="0" collapsed="false">
      <c r="A854" s="1" t="s">
        <v>2025</v>
      </c>
      <c r="B854" s="1" t="s">
        <v>840</v>
      </c>
      <c r="C854" s="1" t="s">
        <v>841</v>
      </c>
      <c r="D854" s="1" t="s">
        <v>1604</v>
      </c>
      <c r="E854" s="1" t="s">
        <v>2023</v>
      </c>
      <c r="F854" s="1" t="s">
        <v>2026</v>
      </c>
      <c r="G854" s="8" t="s">
        <v>1607</v>
      </c>
      <c r="I854" s="1" t="n">
        <v>2</v>
      </c>
    </row>
    <row r="855" customFormat="false" ht="15" hidden="false" customHeight="false" outlineLevel="0" collapsed="false">
      <c r="A855" s="1" t="s">
        <v>2025</v>
      </c>
      <c r="B855" s="1" t="s">
        <v>840</v>
      </c>
      <c r="C855" s="1" t="s">
        <v>1608</v>
      </c>
      <c r="D855" s="1" t="s">
        <v>1604</v>
      </c>
      <c r="E855" s="1" t="s">
        <v>2023</v>
      </c>
      <c r="F855" s="1" t="s">
        <v>2026</v>
      </c>
      <c r="G855" s="8" t="s">
        <v>1607</v>
      </c>
      <c r="I855" s="1" t="n">
        <v>0</v>
      </c>
    </row>
    <row r="856" customFormat="false" ht="15" hidden="false" customHeight="false" outlineLevel="0" collapsed="false">
      <c r="A856" s="1" t="s">
        <v>2025</v>
      </c>
      <c r="B856" s="1" t="s">
        <v>840</v>
      </c>
      <c r="C856" s="1" t="s">
        <v>1609</v>
      </c>
      <c r="D856" s="1" t="s">
        <v>1604</v>
      </c>
      <c r="E856" s="1" t="s">
        <v>2023</v>
      </c>
      <c r="F856" s="1" t="s">
        <v>2026</v>
      </c>
      <c r="G856" s="8" t="s">
        <v>1607</v>
      </c>
      <c r="I856" s="1" t="n">
        <v>0</v>
      </c>
    </row>
    <row r="857" customFormat="false" ht="15" hidden="false" customHeight="false" outlineLevel="0" collapsed="false">
      <c r="A857" s="1" t="s">
        <v>2025</v>
      </c>
      <c r="B857" s="1" t="s">
        <v>840</v>
      </c>
      <c r="C857" s="1" t="s">
        <v>1610</v>
      </c>
      <c r="D857" s="1" t="s">
        <v>1604</v>
      </c>
      <c r="E857" s="1" t="s">
        <v>2023</v>
      </c>
      <c r="F857" s="1" t="s">
        <v>2026</v>
      </c>
      <c r="G857" s="8" t="s">
        <v>1607</v>
      </c>
      <c r="I857" s="1" t="n">
        <v>0</v>
      </c>
    </row>
    <row r="858" customFormat="false" ht="15" hidden="false" customHeight="false" outlineLevel="0" collapsed="false">
      <c r="A858" s="1" t="s">
        <v>2025</v>
      </c>
      <c r="B858" s="1" t="s">
        <v>840</v>
      </c>
      <c r="C858" s="1" t="s">
        <v>1611</v>
      </c>
      <c r="D858" s="1" t="s">
        <v>1604</v>
      </c>
      <c r="E858" s="1" t="s">
        <v>2023</v>
      </c>
      <c r="F858" s="1" t="s">
        <v>2026</v>
      </c>
      <c r="G858" s="8" t="s">
        <v>1607</v>
      </c>
      <c r="I858" s="1" t="n">
        <v>0</v>
      </c>
    </row>
    <row r="859" customFormat="false" ht="15" hidden="false" customHeight="false" outlineLevel="0" collapsed="false">
      <c r="A859" s="1" t="s">
        <v>2025</v>
      </c>
      <c r="B859" s="1" t="s">
        <v>840</v>
      </c>
      <c r="C859" s="1" t="s">
        <v>1612</v>
      </c>
      <c r="D859" s="1" t="s">
        <v>1604</v>
      </c>
      <c r="E859" s="1" t="s">
        <v>2023</v>
      </c>
      <c r="F859" s="1" t="s">
        <v>2026</v>
      </c>
      <c r="G859" s="8" t="s">
        <v>1607</v>
      </c>
      <c r="I859" s="1" t="n">
        <v>0</v>
      </c>
    </row>
    <row r="860" customFormat="false" ht="15" hidden="false" customHeight="false" outlineLevel="0" collapsed="false">
      <c r="A860" s="1" t="s">
        <v>2025</v>
      </c>
      <c r="B860" s="1" t="s">
        <v>840</v>
      </c>
      <c r="C860" s="1" t="s">
        <v>1613</v>
      </c>
      <c r="D860" s="1" t="s">
        <v>1604</v>
      </c>
      <c r="E860" s="1" t="s">
        <v>2023</v>
      </c>
      <c r="F860" s="1" t="s">
        <v>2026</v>
      </c>
      <c r="G860" s="8" t="s">
        <v>1607</v>
      </c>
      <c r="I860" s="1" t="n">
        <v>0</v>
      </c>
    </row>
    <row r="861" customFormat="false" ht="15" hidden="false" customHeight="false" outlineLevel="0" collapsed="false">
      <c r="A861" s="1" t="s">
        <v>2025</v>
      </c>
      <c r="B861" s="1" t="s">
        <v>842</v>
      </c>
      <c r="C861" s="1" t="s">
        <v>843</v>
      </c>
      <c r="D861" s="1" t="s">
        <v>1604</v>
      </c>
      <c r="E861" s="1" t="s">
        <v>2023</v>
      </c>
      <c r="F861" s="1" t="s">
        <v>2026</v>
      </c>
      <c r="G861" s="8" t="s">
        <v>1607</v>
      </c>
      <c r="I861" s="1" t="n">
        <v>1</v>
      </c>
    </row>
    <row r="862" customFormat="false" ht="15" hidden="false" customHeight="false" outlineLevel="0" collapsed="false">
      <c r="A862" s="1" t="s">
        <v>2025</v>
      </c>
      <c r="B862" s="1" t="s">
        <v>842</v>
      </c>
      <c r="C862" s="1" t="s">
        <v>1614</v>
      </c>
      <c r="D862" s="1" t="s">
        <v>1604</v>
      </c>
      <c r="E862" s="1" t="s">
        <v>2023</v>
      </c>
      <c r="F862" s="1" t="s">
        <v>2026</v>
      </c>
      <c r="G862" s="8" t="s">
        <v>1607</v>
      </c>
      <c r="I862" s="1" t="n">
        <v>0</v>
      </c>
    </row>
    <row r="863" customFormat="false" ht="15" hidden="false" customHeight="false" outlineLevel="0" collapsed="false">
      <c r="A863" s="1" t="s">
        <v>2025</v>
      </c>
      <c r="B863" s="1" t="s">
        <v>842</v>
      </c>
      <c r="C863" s="1" t="s">
        <v>1615</v>
      </c>
      <c r="D863" s="1" t="s">
        <v>1604</v>
      </c>
      <c r="E863" s="1" t="s">
        <v>2023</v>
      </c>
      <c r="F863" s="1" t="s">
        <v>2026</v>
      </c>
      <c r="G863" s="8" t="s">
        <v>1607</v>
      </c>
      <c r="I863" s="1" t="n">
        <v>0</v>
      </c>
    </row>
    <row r="864" customFormat="false" ht="15" hidden="false" customHeight="false" outlineLevel="0" collapsed="false">
      <c r="A864" s="1" t="s">
        <v>2025</v>
      </c>
      <c r="B864" s="1" t="s">
        <v>844</v>
      </c>
      <c r="C864" s="1" t="s">
        <v>845</v>
      </c>
      <c r="D864" s="1" t="s">
        <v>1604</v>
      </c>
      <c r="E864" s="1" t="s">
        <v>2023</v>
      </c>
      <c r="F864" s="1" t="s">
        <v>2026</v>
      </c>
      <c r="G864" s="8" t="s">
        <v>1607</v>
      </c>
      <c r="I864" s="1" t="n">
        <v>0</v>
      </c>
    </row>
    <row r="865" customFormat="false" ht="15" hidden="false" customHeight="false" outlineLevel="0" collapsed="false">
      <c r="A865" s="1" t="s">
        <v>2025</v>
      </c>
      <c r="B865" s="1" t="s">
        <v>844</v>
      </c>
      <c r="C865" s="1" t="s">
        <v>1616</v>
      </c>
      <c r="D865" s="1" t="s">
        <v>1604</v>
      </c>
      <c r="E865" s="1" t="s">
        <v>2023</v>
      </c>
      <c r="F865" s="1" t="s">
        <v>2026</v>
      </c>
      <c r="G865" s="8" t="s">
        <v>1607</v>
      </c>
      <c r="I865" s="1" t="n">
        <v>0</v>
      </c>
    </row>
    <row r="866" customFormat="false" ht="15" hidden="false" customHeight="false" outlineLevel="0" collapsed="false">
      <c r="A866" s="1" t="s">
        <v>2025</v>
      </c>
      <c r="B866" s="1" t="s">
        <v>844</v>
      </c>
      <c r="C866" s="1" t="s">
        <v>1617</v>
      </c>
      <c r="D866" s="1" t="s">
        <v>1604</v>
      </c>
      <c r="E866" s="1" t="s">
        <v>2023</v>
      </c>
      <c r="F866" s="1" t="s">
        <v>2026</v>
      </c>
      <c r="G866" s="8" t="s">
        <v>1607</v>
      </c>
      <c r="I866" s="1" t="n">
        <v>0</v>
      </c>
    </row>
    <row r="867" customFormat="false" ht="15" hidden="false" customHeight="false" outlineLevel="0" collapsed="false">
      <c r="A867" s="1" t="s">
        <v>2025</v>
      </c>
      <c r="B867" s="1" t="s">
        <v>844</v>
      </c>
      <c r="C867" s="1" t="s">
        <v>1618</v>
      </c>
      <c r="D867" s="1" t="s">
        <v>1604</v>
      </c>
      <c r="E867" s="1" t="s">
        <v>2023</v>
      </c>
      <c r="F867" s="1" t="s">
        <v>2026</v>
      </c>
      <c r="G867" s="8" t="s">
        <v>1607</v>
      </c>
      <c r="I867" s="1" t="n">
        <v>0</v>
      </c>
    </row>
    <row r="868" customFormat="false" ht="15" hidden="false" customHeight="false" outlineLevel="0" collapsed="false">
      <c r="A868" s="1" t="s">
        <v>2025</v>
      </c>
      <c r="B868" s="1" t="s">
        <v>846</v>
      </c>
      <c r="C868" s="1" t="s">
        <v>847</v>
      </c>
      <c r="D868" s="1" t="s">
        <v>1604</v>
      </c>
      <c r="E868" s="1" t="s">
        <v>2023</v>
      </c>
      <c r="F868" s="1" t="s">
        <v>2026</v>
      </c>
      <c r="G868" s="8" t="s">
        <v>1607</v>
      </c>
      <c r="I868" s="1" t="n">
        <v>0</v>
      </c>
    </row>
    <row r="869" customFormat="false" ht="15" hidden="false" customHeight="false" outlineLevel="0" collapsed="false">
      <c r="A869" s="1" t="s">
        <v>2025</v>
      </c>
      <c r="B869" s="1" t="s">
        <v>848</v>
      </c>
      <c r="C869" s="1" t="s">
        <v>849</v>
      </c>
      <c r="D869" s="1" t="s">
        <v>1604</v>
      </c>
      <c r="E869" s="1" t="s">
        <v>2023</v>
      </c>
      <c r="F869" s="1" t="s">
        <v>2026</v>
      </c>
      <c r="G869" s="8" t="s">
        <v>1607</v>
      </c>
      <c r="I869" s="1" t="n">
        <v>1</v>
      </c>
    </row>
    <row r="870" customFormat="false" ht="15" hidden="false" customHeight="false" outlineLevel="0" collapsed="false">
      <c r="A870" s="1" t="s">
        <v>2025</v>
      </c>
      <c r="B870" s="1" t="s">
        <v>850</v>
      </c>
      <c r="C870" s="1" t="s">
        <v>851</v>
      </c>
      <c r="D870" s="1" t="s">
        <v>1604</v>
      </c>
      <c r="E870" s="1" t="s">
        <v>2023</v>
      </c>
      <c r="F870" s="1" t="s">
        <v>2026</v>
      </c>
      <c r="G870" s="8" t="s">
        <v>1607</v>
      </c>
      <c r="I870" s="1" t="n">
        <v>0</v>
      </c>
    </row>
    <row r="871" customFormat="false" ht="15" hidden="false" customHeight="false" outlineLevel="0" collapsed="false">
      <c r="A871" s="1" t="s">
        <v>2025</v>
      </c>
      <c r="B871" s="1" t="s">
        <v>852</v>
      </c>
      <c r="C871" s="1" t="s">
        <v>853</v>
      </c>
      <c r="D871" s="1" t="s">
        <v>1604</v>
      </c>
      <c r="E871" s="1" t="s">
        <v>2023</v>
      </c>
      <c r="F871" s="1" t="s">
        <v>2026</v>
      </c>
      <c r="G871" s="8" t="s">
        <v>1607</v>
      </c>
      <c r="I871" s="1" t="n">
        <v>0</v>
      </c>
    </row>
    <row r="872" customFormat="false" ht="15" hidden="false" customHeight="false" outlineLevel="0" collapsed="false">
      <c r="A872" s="1" t="s">
        <v>2025</v>
      </c>
      <c r="B872" s="1" t="s">
        <v>852</v>
      </c>
      <c r="C872" s="1" t="s">
        <v>1619</v>
      </c>
      <c r="D872" s="1" t="s">
        <v>1604</v>
      </c>
      <c r="E872" s="1" t="s">
        <v>2023</v>
      </c>
      <c r="F872" s="1" t="s">
        <v>2026</v>
      </c>
      <c r="G872" s="8" t="s">
        <v>1607</v>
      </c>
      <c r="I872" s="1" t="n">
        <v>0</v>
      </c>
    </row>
    <row r="873" customFormat="false" ht="15" hidden="false" customHeight="false" outlineLevel="0" collapsed="false">
      <c r="A873" s="1" t="s">
        <v>2025</v>
      </c>
      <c r="B873" s="1" t="s">
        <v>852</v>
      </c>
      <c r="C873" s="1" t="s">
        <v>1620</v>
      </c>
      <c r="D873" s="1" t="s">
        <v>1604</v>
      </c>
      <c r="E873" s="1" t="s">
        <v>2023</v>
      </c>
      <c r="F873" s="1" t="s">
        <v>2026</v>
      </c>
      <c r="G873" s="8" t="s">
        <v>1607</v>
      </c>
      <c r="I873" s="1" t="n">
        <v>0</v>
      </c>
    </row>
    <row r="874" customFormat="false" ht="15" hidden="false" customHeight="false" outlineLevel="0" collapsed="false">
      <c r="A874" s="1" t="s">
        <v>2025</v>
      </c>
      <c r="B874" s="1" t="s">
        <v>854</v>
      </c>
      <c r="C874" s="1" t="s">
        <v>855</v>
      </c>
      <c r="D874" s="1" t="s">
        <v>1604</v>
      </c>
      <c r="E874" s="1" t="s">
        <v>2023</v>
      </c>
      <c r="F874" s="1" t="s">
        <v>2026</v>
      </c>
      <c r="G874" s="8" t="s">
        <v>1607</v>
      </c>
      <c r="I874" s="1" t="n">
        <v>0</v>
      </c>
    </row>
    <row r="875" customFormat="false" ht="15" hidden="false" customHeight="false" outlineLevel="0" collapsed="false">
      <c r="A875" s="1" t="s">
        <v>2025</v>
      </c>
      <c r="B875" s="1" t="s">
        <v>856</v>
      </c>
      <c r="C875" s="1" t="s">
        <v>857</v>
      </c>
      <c r="D875" s="1" t="s">
        <v>1604</v>
      </c>
      <c r="E875" s="1" t="s">
        <v>2023</v>
      </c>
      <c r="F875" s="1" t="s">
        <v>2026</v>
      </c>
      <c r="G875" s="8" t="s">
        <v>1607</v>
      </c>
      <c r="I875" s="1" t="n">
        <v>0</v>
      </c>
    </row>
    <row r="876" customFormat="false" ht="15" hidden="false" customHeight="false" outlineLevel="0" collapsed="false">
      <c r="A876" s="1" t="s">
        <v>2025</v>
      </c>
      <c r="B876" s="1" t="s">
        <v>856</v>
      </c>
      <c r="C876" s="1" t="s">
        <v>1621</v>
      </c>
      <c r="D876" s="1" t="s">
        <v>1604</v>
      </c>
      <c r="E876" s="1" t="s">
        <v>2023</v>
      </c>
      <c r="F876" s="1" t="s">
        <v>2026</v>
      </c>
      <c r="G876" s="8" t="s">
        <v>1607</v>
      </c>
      <c r="I876" s="1" t="n">
        <v>0</v>
      </c>
    </row>
    <row r="877" customFormat="false" ht="15" hidden="false" customHeight="false" outlineLevel="0" collapsed="false">
      <c r="A877" s="1" t="s">
        <v>2025</v>
      </c>
      <c r="B877" s="1" t="s">
        <v>856</v>
      </c>
      <c r="C877" s="1" t="s">
        <v>1622</v>
      </c>
      <c r="D877" s="1" t="s">
        <v>1604</v>
      </c>
      <c r="E877" s="1" t="s">
        <v>2023</v>
      </c>
      <c r="F877" s="1" t="s">
        <v>2026</v>
      </c>
      <c r="G877" s="8" t="s">
        <v>1607</v>
      </c>
      <c r="I877" s="1" t="n">
        <v>0</v>
      </c>
    </row>
    <row r="878" customFormat="false" ht="15" hidden="false" customHeight="false" outlineLevel="0" collapsed="false">
      <c r="A878" s="1" t="s">
        <v>2025</v>
      </c>
      <c r="B878" s="1" t="s">
        <v>856</v>
      </c>
      <c r="C878" s="1" t="s">
        <v>1623</v>
      </c>
      <c r="D878" s="1" t="s">
        <v>1604</v>
      </c>
      <c r="E878" s="1" t="s">
        <v>2023</v>
      </c>
      <c r="F878" s="1" t="s">
        <v>2026</v>
      </c>
      <c r="G878" s="8" t="s">
        <v>1607</v>
      </c>
      <c r="I878" s="1" t="n">
        <v>1</v>
      </c>
    </row>
    <row r="879" customFormat="false" ht="15" hidden="false" customHeight="false" outlineLevel="0" collapsed="false">
      <c r="A879" s="1" t="s">
        <v>2025</v>
      </c>
      <c r="B879" s="1" t="s">
        <v>858</v>
      </c>
      <c r="C879" s="1" t="s">
        <v>859</v>
      </c>
      <c r="D879" s="1" t="s">
        <v>1604</v>
      </c>
      <c r="E879" s="1" t="s">
        <v>2023</v>
      </c>
      <c r="F879" s="1" t="s">
        <v>2026</v>
      </c>
      <c r="G879" s="8" t="s">
        <v>1607</v>
      </c>
      <c r="I879" s="1" t="n">
        <v>0</v>
      </c>
    </row>
    <row r="880" customFormat="false" ht="15" hidden="false" customHeight="false" outlineLevel="0" collapsed="false">
      <c r="A880" s="1" t="s">
        <v>2025</v>
      </c>
      <c r="B880" s="1" t="s">
        <v>860</v>
      </c>
      <c r="C880" s="1" t="s">
        <v>861</v>
      </c>
      <c r="D880" s="1" t="s">
        <v>1604</v>
      </c>
      <c r="E880" s="1" t="s">
        <v>2023</v>
      </c>
      <c r="F880" s="1" t="s">
        <v>2026</v>
      </c>
      <c r="G880" s="8" t="s">
        <v>1607</v>
      </c>
      <c r="I880" s="1" t="n">
        <v>8</v>
      </c>
    </row>
    <row r="881" customFormat="false" ht="15" hidden="false" customHeight="false" outlineLevel="0" collapsed="false">
      <c r="A881" s="1" t="s">
        <v>2025</v>
      </c>
      <c r="B881" s="1" t="s">
        <v>862</v>
      </c>
      <c r="C881" s="1" t="s">
        <v>863</v>
      </c>
      <c r="D881" s="1" t="s">
        <v>1604</v>
      </c>
      <c r="E881" s="1" t="s">
        <v>2023</v>
      </c>
      <c r="F881" s="1" t="s">
        <v>2026</v>
      </c>
      <c r="G881" s="8" t="s">
        <v>1607</v>
      </c>
      <c r="I881" s="1" t="n">
        <v>1</v>
      </c>
    </row>
    <row r="882" customFormat="false" ht="15" hidden="false" customHeight="false" outlineLevel="0" collapsed="false">
      <c r="A882" s="1" t="s">
        <v>2025</v>
      </c>
      <c r="B882" s="1" t="s">
        <v>862</v>
      </c>
      <c r="C882" s="1" t="s">
        <v>1624</v>
      </c>
      <c r="D882" s="1" t="s">
        <v>1604</v>
      </c>
      <c r="E882" s="1" t="s">
        <v>2023</v>
      </c>
      <c r="F882" s="1" t="s">
        <v>2026</v>
      </c>
      <c r="G882" s="8" t="s">
        <v>1607</v>
      </c>
      <c r="I882" s="1" t="n">
        <v>0</v>
      </c>
    </row>
    <row r="883" customFormat="false" ht="15" hidden="false" customHeight="false" outlineLevel="0" collapsed="false">
      <c r="A883" s="1" t="s">
        <v>2025</v>
      </c>
      <c r="B883" s="1" t="s">
        <v>862</v>
      </c>
      <c r="C883" s="1" t="s">
        <v>1625</v>
      </c>
      <c r="D883" s="1" t="s">
        <v>1604</v>
      </c>
      <c r="E883" s="1" t="s">
        <v>2023</v>
      </c>
      <c r="F883" s="1" t="s">
        <v>2026</v>
      </c>
      <c r="G883" s="8" t="s">
        <v>1607</v>
      </c>
      <c r="I883" s="1" t="n">
        <v>0</v>
      </c>
    </row>
    <row r="884" customFormat="false" ht="15" hidden="false" customHeight="false" outlineLevel="0" collapsed="false">
      <c r="A884" s="1" t="s">
        <v>2025</v>
      </c>
      <c r="B884" s="1" t="s">
        <v>862</v>
      </c>
      <c r="C884" s="1" t="s">
        <v>1626</v>
      </c>
      <c r="D884" s="1" t="s">
        <v>1604</v>
      </c>
      <c r="E884" s="1" t="s">
        <v>2023</v>
      </c>
      <c r="F884" s="1" t="s">
        <v>2026</v>
      </c>
      <c r="G884" s="8" t="s">
        <v>1607</v>
      </c>
      <c r="I884" s="1" t="n">
        <v>0</v>
      </c>
    </row>
    <row r="885" customFormat="false" ht="15" hidden="false" customHeight="false" outlineLevel="0" collapsed="false">
      <c r="A885" s="1" t="s">
        <v>2025</v>
      </c>
      <c r="B885" s="1" t="s">
        <v>862</v>
      </c>
      <c r="C885" s="1" t="s">
        <v>1627</v>
      </c>
      <c r="D885" s="1" t="s">
        <v>1604</v>
      </c>
      <c r="E885" s="1" t="s">
        <v>2023</v>
      </c>
      <c r="F885" s="1" t="s">
        <v>2026</v>
      </c>
      <c r="G885" s="8" t="s">
        <v>1607</v>
      </c>
      <c r="I885" s="1" t="n">
        <v>0</v>
      </c>
    </row>
    <row r="886" customFormat="false" ht="15" hidden="false" customHeight="false" outlineLevel="0" collapsed="false">
      <c r="A886" s="1" t="s">
        <v>2025</v>
      </c>
      <c r="B886" s="1" t="s">
        <v>862</v>
      </c>
      <c r="C886" s="1" t="s">
        <v>1628</v>
      </c>
      <c r="D886" s="1" t="s">
        <v>1604</v>
      </c>
      <c r="E886" s="1" t="s">
        <v>2023</v>
      </c>
      <c r="F886" s="1" t="s">
        <v>2026</v>
      </c>
      <c r="G886" s="8" t="s">
        <v>1607</v>
      </c>
      <c r="I886" s="1" t="n">
        <v>0</v>
      </c>
    </row>
    <row r="887" customFormat="false" ht="15" hidden="false" customHeight="false" outlineLevel="0" collapsed="false">
      <c r="A887" s="1" t="s">
        <v>2025</v>
      </c>
      <c r="B887" s="1" t="s">
        <v>864</v>
      </c>
      <c r="C887" s="1" t="s">
        <v>865</v>
      </c>
      <c r="D887" s="1" t="s">
        <v>1604</v>
      </c>
      <c r="E887" s="1" t="s">
        <v>2023</v>
      </c>
      <c r="F887" s="1" t="s">
        <v>2026</v>
      </c>
      <c r="G887" s="8" t="s">
        <v>1607</v>
      </c>
      <c r="I887" s="1" t="n">
        <v>0</v>
      </c>
    </row>
    <row r="888" customFormat="false" ht="15" hidden="false" customHeight="false" outlineLevel="0" collapsed="false">
      <c r="A888" s="1" t="s">
        <v>2025</v>
      </c>
      <c r="B888" s="1" t="s">
        <v>866</v>
      </c>
      <c r="C888" s="1" t="s">
        <v>867</v>
      </c>
      <c r="D888" s="1" t="s">
        <v>1604</v>
      </c>
      <c r="E888" s="1" t="s">
        <v>2023</v>
      </c>
      <c r="F888" s="1" t="s">
        <v>2026</v>
      </c>
      <c r="G888" s="8" t="s">
        <v>1607</v>
      </c>
      <c r="I888" s="1" t="n">
        <v>0</v>
      </c>
    </row>
    <row r="889" customFormat="false" ht="15" hidden="false" customHeight="false" outlineLevel="0" collapsed="false">
      <c r="A889" s="1" t="s">
        <v>2025</v>
      </c>
      <c r="B889" s="1" t="s">
        <v>868</v>
      </c>
      <c r="C889" s="1" t="s">
        <v>869</v>
      </c>
      <c r="D889" s="1" t="s">
        <v>1604</v>
      </c>
      <c r="E889" s="1" t="s">
        <v>2023</v>
      </c>
      <c r="F889" s="1" t="s">
        <v>2026</v>
      </c>
      <c r="G889" s="8" t="s">
        <v>1607</v>
      </c>
      <c r="I889" s="1" t="n">
        <v>0</v>
      </c>
    </row>
    <row r="890" customFormat="false" ht="15" hidden="false" customHeight="false" outlineLevel="0" collapsed="false">
      <c r="A890" s="1" t="s">
        <v>2025</v>
      </c>
      <c r="B890" s="1" t="s">
        <v>870</v>
      </c>
      <c r="C890" s="1" t="s">
        <v>871</v>
      </c>
      <c r="D890" s="1" t="s">
        <v>1604</v>
      </c>
      <c r="E890" s="1" t="s">
        <v>2023</v>
      </c>
      <c r="F890" s="1" t="s">
        <v>2026</v>
      </c>
      <c r="G890" s="8" t="s">
        <v>1607</v>
      </c>
      <c r="I890" s="1" t="n">
        <v>1</v>
      </c>
    </row>
    <row r="891" customFormat="false" ht="15" hidden="false" customHeight="false" outlineLevel="0" collapsed="false">
      <c r="A891" s="1" t="s">
        <v>2025</v>
      </c>
      <c r="B891" s="1" t="s">
        <v>872</v>
      </c>
      <c r="C891" s="1" t="s">
        <v>873</v>
      </c>
      <c r="D891" s="1" t="s">
        <v>1604</v>
      </c>
      <c r="E891" s="1" t="s">
        <v>2023</v>
      </c>
      <c r="F891" s="1" t="s">
        <v>2026</v>
      </c>
      <c r="G891" s="8" t="s">
        <v>1607</v>
      </c>
      <c r="I891" s="1" t="n">
        <v>1</v>
      </c>
    </row>
    <row r="892" customFormat="false" ht="15" hidden="false" customHeight="false" outlineLevel="0" collapsed="false">
      <c r="A892" s="1" t="s">
        <v>2025</v>
      </c>
      <c r="B892" s="1" t="s">
        <v>872</v>
      </c>
      <c r="C892" s="1" t="s">
        <v>1629</v>
      </c>
      <c r="D892" s="1" t="s">
        <v>1604</v>
      </c>
      <c r="E892" s="1" t="s">
        <v>2023</v>
      </c>
      <c r="F892" s="1" t="s">
        <v>2026</v>
      </c>
      <c r="G892" s="8" t="s">
        <v>1607</v>
      </c>
      <c r="I892" s="1" t="n">
        <v>0</v>
      </c>
    </row>
    <row r="893" customFormat="false" ht="15" hidden="false" customHeight="false" outlineLevel="0" collapsed="false">
      <c r="A893" s="1" t="s">
        <v>2025</v>
      </c>
      <c r="B893" s="1" t="s">
        <v>872</v>
      </c>
      <c r="C893" s="1" t="s">
        <v>1630</v>
      </c>
      <c r="D893" s="1" t="s">
        <v>1604</v>
      </c>
      <c r="E893" s="1" t="s">
        <v>2023</v>
      </c>
      <c r="F893" s="1" t="s">
        <v>2026</v>
      </c>
      <c r="G893" s="8" t="s">
        <v>1607</v>
      </c>
      <c r="I893" s="1" t="n">
        <v>0</v>
      </c>
    </row>
    <row r="894" customFormat="false" ht="15" hidden="false" customHeight="false" outlineLevel="0" collapsed="false">
      <c r="A894" s="1" t="s">
        <v>2025</v>
      </c>
      <c r="B894" s="1" t="s">
        <v>872</v>
      </c>
      <c r="C894" s="1" t="s">
        <v>1631</v>
      </c>
      <c r="D894" s="1" t="s">
        <v>1604</v>
      </c>
      <c r="E894" s="1" t="s">
        <v>2023</v>
      </c>
      <c r="F894" s="1" t="s">
        <v>2026</v>
      </c>
      <c r="G894" s="8" t="s">
        <v>1607</v>
      </c>
      <c r="I894" s="1" t="n">
        <v>0</v>
      </c>
    </row>
    <row r="895" customFormat="false" ht="15" hidden="false" customHeight="false" outlineLevel="0" collapsed="false">
      <c r="A895" s="1" t="s">
        <v>2025</v>
      </c>
      <c r="B895" s="1" t="s">
        <v>874</v>
      </c>
      <c r="C895" s="1" t="s">
        <v>875</v>
      </c>
      <c r="D895" s="1" t="s">
        <v>1604</v>
      </c>
      <c r="E895" s="1" t="s">
        <v>2023</v>
      </c>
      <c r="F895" s="1" t="s">
        <v>2026</v>
      </c>
      <c r="G895" s="8" t="s">
        <v>1632</v>
      </c>
      <c r="H895" s="1" t="s">
        <v>876</v>
      </c>
      <c r="I895" s="1" t="n">
        <v>8</v>
      </c>
    </row>
    <row r="896" customFormat="false" ht="15" hidden="false" customHeight="false" outlineLevel="0" collapsed="false">
      <c r="A896" s="1" t="s">
        <v>2025</v>
      </c>
      <c r="B896" s="1" t="s">
        <v>1046</v>
      </c>
      <c r="C896" s="1" t="s">
        <v>1047</v>
      </c>
      <c r="D896" s="1" t="s">
        <v>1604</v>
      </c>
      <c r="E896" s="1" t="s">
        <v>2023</v>
      </c>
      <c r="F896" s="1" t="s">
        <v>2026</v>
      </c>
      <c r="G896" s="8" t="s">
        <v>1607</v>
      </c>
      <c r="I896" s="1" t="n">
        <v>4</v>
      </c>
    </row>
    <row r="897" customFormat="false" ht="15" hidden="false" customHeight="false" outlineLevel="0" collapsed="false">
      <c r="A897" s="1" t="s">
        <v>2025</v>
      </c>
      <c r="B897" s="1" t="s">
        <v>1050</v>
      </c>
      <c r="C897" s="1" t="s">
        <v>1051</v>
      </c>
      <c r="D897" s="1" t="s">
        <v>1604</v>
      </c>
      <c r="E897" s="1" t="s">
        <v>2023</v>
      </c>
      <c r="F897" s="1" t="s">
        <v>2026</v>
      </c>
      <c r="G897" s="8" t="s">
        <v>1607</v>
      </c>
      <c r="I897" s="1" t="n">
        <v>0</v>
      </c>
    </row>
    <row r="898" customFormat="false" ht="15" hidden="false" customHeight="false" outlineLevel="0" collapsed="false">
      <c r="A898" s="1" t="s">
        <v>2025</v>
      </c>
      <c r="B898" s="1" t="s">
        <v>1052</v>
      </c>
      <c r="C898" s="1" t="s">
        <v>1053</v>
      </c>
      <c r="D898" s="1" t="s">
        <v>1604</v>
      </c>
      <c r="E898" s="1" t="s">
        <v>2023</v>
      </c>
      <c r="F898" s="1" t="s">
        <v>2026</v>
      </c>
      <c r="G898" s="8" t="s">
        <v>1607</v>
      </c>
      <c r="I898" s="1" t="n">
        <v>0</v>
      </c>
    </row>
    <row r="899" customFormat="false" ht="15" hidden="false" customHeight="false" outlineLevel="0" collapsed="false">
      <c r="A899" s="1" t="s">
        <v>2025</v>
      </c>
      <c r="B899" s="1" t="s">
        <v>1054</v>
      </c>
      <c r="C899" s="1" t="s">
        <v>1055</v>
      </c>
      <c r="D899" s="1" t="s">
        <v>1604</v>
      </c>
      <c r="E899" s="1" t="s">
        <v>2023</v>
      </c>
      <c r="F899" s="1" t="s">
        <v>2026</v>
      </c>
      <c r="G899" s="8" t="s">
        <v>1607</v>
      </c>
      <c r="I899" s="1" t="n">
        <v>0</v>
      </c>
    </row>
    <row r="900" customFormat="false" ht="15" hidden="false" customHeight="false" outlineLevel="0" collapsed="false">
      <c r="A900" s="1" t="s">
        <v>2025</v>
      </c>
      <c r="B900" s="1" t="s">
        <v>1056</v>
      </c>
      <c r="C900" s="1" t="s">
        <v>1057</v>
      </c>
      <c r="D900" s="1" t="s">
        <v>1604</v>
      </c>
      <c r="E900" s="1" t="s">
        <v>2023</v>
      </c>
      <c r="F900" s="1" t="s">
        <v>2026</v>
      </c>
      <c r="G900" s="8" t="s">
        <v>1607</v>
      </c>
      <c r="I900" s="1" t="n">
        <v>0</v>
      </c>
    </row>
    <row r="901" customFormat="false" ht="15" hidden="false" customHeight="false" outlineLevel="0" collapsed="false">
      <c r="A901" s="1" t="s">
        <v>2025</v>
      </c>
      <c r="B901" s="1" t="s">
        <v>1058</v>
      </c>
      <c r="C901" s="1" t="s">
        <v>1059</v>
      </c>
      <c r="D901" s="1" t="s">
        <v>1604</v>
      </c>
      <c r="E901" s="1" t="s">
        <v>2023</v>
      </c>
      <c r="F901" s="1" t="s">
        <v>2026</v>
      </c>
      <c r="G901" s="8" t="s">
        <v>1607</v>
      </c>
      <c r="I901" s="1" t="n">
        <v>0</v>
      </c>
    </row>
    <row r="902" customFormat="false" ht="15" hidden="false" customHeight="false" outlineLevel="0" collapsed="false">
      <c r="A902" s="1" t="s">
        <v>2025</v>
      </c>
      <c r="B902" s="1" t="s">
        <v>1060</v>
      </c>
      <c r="C902" s="1" t="s">
        <v>1061</v>
      </c>
      <c r="D902" s="1" t="s">
        <v>1604</v>
      </c>
      <c r="E902" s="1" t="s">
        <v>2023</v>
      </c>
      <c r="F902" s="1" t="s">
        <v>2026</v>
      </c>
      <c r="G902" s="8" t="s">
        <v>1607</v>
      </c>
      <c r="I902" s="1" t="n">
        <v>2</v>
      </c>
    </row>
    <row r="903" customFormat="false" ht="15" hidden="false" customHeight="false" outlineLevel="0" collapsed="false">
      <c r="A903" s="1" t="s">
        <v>2025</v>
      </c>
      <c r="B903" s="1" t="s">
        <v>1060</v>
      </c>
      <c r="C903" s="1" t="s">
        <v>1633</v>
      </c>
      <c r="D903" s="1" t="s">
        <v>1604</v>
      </c>
      <c r="E903" s="1" t="s">
        <v>2023</v>
      </c>
      <c r="F903" s="1" t="s">
        <v>2026</v>
      </c>
      <c r="G903" s="8" t="s">
        <v>1607</v>
      </c>
      <c r="I903" s="1" t="n">
        <v>1</v>
      </c>
    </row>
    <row r="904" customFormat="false" ht="15" hidden="false" customHeight="false" outlineLevel="0" collapsed="false">
      <c r="A904" s="1" t="s">
        <v>2025</v>
      </c>
      <c r="B904" s="1" t="s">
        <v>1060</v>
      </c>
      <c r="C904" s="1" t="s">
        <v>1634</v>
      </c>
      <c r="D904" s="1" t="s">
        <v>1604</v>
      </c>
      <c r="E904" s="1" t="s">
        <v>2023</v>
      </c>
      <c r="F904" s="1" t="s">
        <v>2026</v>
      </c>
      <c r="G904" s="8" t="s">
        <v>1607</v>
      </c>
      <c r="I904" s="1" t="n">
        <v>1</v>
      </c>
    </row>
    <row r="905" customFormat="false" ht="15" hidden="false" customHeight="false" outlineLevel="0" collapsed="false">
      <c r="A905" s="1" t="s">
        <v>2025</v>
      </c>
      <c r="B905" s="1" t="s">
        <v>1060</v>
      </c>
      <c r="C905" s="1" t="s">
        <v>1635</v>
      </c>
      <c r="D905" s="1" t="s">
        <v>1604</v>
      </c>
      <c r="E905" s="1" t="s">
        <v>2023</v>
      </c>
      <c r="F905" s="1" t="s">
        <v>2026</v>
      </c>
      <c r="G905" s="8" t="s">
        <v>1607</v>
      </c>
      <c r="I905" s="1" t="n">
        <v>1</v>
      </c>
    </row>
    <row r="906" customFormat="false" ht="15" hidden="false" customHeight="false" outlineLevel="0" collapsed="false">
      <c r="A906" s="1" t="s">
        <v>2025</v>
      </c>
      <c r="B906" s="1" t="s">
        <v>1060</v>
      </c>
      <c r="C906" s="1" t="s">
        <v>1636</v>
      </c>
      <c r="D906" s="1" t="s">
        <v>1604</v>
      </c>
      <c r="E906" s="1" t="s">
        <v>2023</v>
      </c>
      <c r="F906" s="1" t="s">
        <v>2026</v>
      </c>
      <c r="G906" s="8" t="s">
        <v>1607</v>
      </c>
      <c r="I906" s="1" t="n">
        <v>0</v>
      </c>
    </row>
    <row r="907" customFormat="false" ht="15" hidden="false" customHeight="false" outlineLevel="0" collapsed="false">
      <c r="A907" s="1" t="s">
        <v>2025</v>
      </c>
      <c r="B907" s="1" t="s">
        <v>1060</v>
      </c>
      <c r="C907" s="1" t="s">
        <v>1637</v>
      </c>
      <c r="D907" s="1" t="s">
        <v>1604</v>
      </c>
      <c r="E907" s="1" t="s">
        <v>2023</v>
      </c>
      <c r="F907" s="1" t="s">
        <v>2026</v>
      </c>
      <c r="G907" s="8" t="s">
        <v>1607</v>
      </c>
      <c r="I907" s="1" t="n">
        <v>0</v>
      </c>
    </row>
    <row r="908" customFormat="false" ht="15" hidden="false" customHeight="false" outlineLevel="0" collapsed="false">
      <c r="A908" s="1" t="s">
        <v>2025</v>
      </c>
      <c r="B908" s="1" t="s">
        <v>1062</v>
      </c>
      <c r="C908" s="1" t="s">
        <v>1063</v>
      </c>
      <c r="D908" s="1" t="s">
        <v>1604</v>
      </c>
      <c r="E908" s="1" t="s">
        <v>2023</v>
      </c>
      <c r="F908" s="1" t="s">
        <v>2026</v>
      </c>
      <c r="G908" s="8" t="s">
        <v>1607</v>
      </c>
      <c r="I908" s="1" t="n">
        <v>0</v>
      </c>
    </row>
    <row r="909" customFormat="false" ht="15" hidden="false" customHeight="false" outlineLevel="0" collapsed="false">
      <c r="A909" s="1" t="s">
        <v>2025</v>
      </c>
      <c r="B909" s="1" t="s">
        <v>1062</v>
      </c>
      <c r="C909" s="1" t="s">
        <v>1638</v>
      </c>
      <c r="D909" s="1" t="s">
        <v>1604</v>
      </c>
      <c r="E909" s="1" t="s">
        <v>2023</v>
      </c>
      <c r="F909" s="1" t="s">
        <v>2026</v>
      </c>
      <c r="G909" s="8" t="s">
        <v>1607</v>
      </c>
      <c r="I909" s="1" t="n">
        <v>0</v>
      </c>
    </row>
    <row r="910" customFormat="false" ht="15" hidden="false" customHeight="false" outlineLevel="0" collapsed="false">
      <c r="A910" s="1" t="s">
        <v>2025</v>
      </c>
      <c r="B910" s="1" t="s">
        <v>1062</v>
      </c>
      <c r="C910" s="1" t="s">
        <v>1639</v>
      </c>
      <c r="D910" s="1" t="s">
        <v>1604</v>
      </c>
      <c r="E910" s="1" t="s">
        <v>2023</v>
      </c>
      <c r="F910" s="1" t="s">
        <v>2026</v>
      </c>
      <c r="G910" s="8" t="s">
        <v>1607</v>
      </c>
      <c r="I910" s="1" t="n">
        <v>0</v>
      </c>
    </row>
    <row r="911" customFormat="false" ht="15" hidden="false" customHeight="false" outlineLevel="0" collapsed="false">
      <c r="A911" s="1" t="s">
        <v>2025</v>
      </c>
      <c r="B911" s="1" t="s">
        <v>1062</v>
      </c>
      <c r="C911" s="1" t="s">
        <v>1640</v>
      </c>
      <c r="D911" s="1" t="s">
        <v>1604</v>
      </c>
      <c r="E911" s="1" t="s">
        <v>2023</v>
      </c>
      <c r="F911" s="1" t="s">
        <v>2026</v>
      </c>
      <c r="G911" s="8" t="s">
        <v>1607</v>
      </c>
      <c r="I911" s="1" t="n">
        <v>0</v>
      </c>
    </row>
    <row r="912" customFormat="false" ht="15" hidden="false" customHeight="false" outlineLevel="0" collapsed="false">
      <c r="A912" s="1" t="s">
        <v>2025</v>
      </c>
      <c r="B912" s="1" t="s">
        <v>1062</v>
      </c>
      <c r="C912" s="1" t="s">
        <v>1641</v>
      </c>
      <c r="D912" s="1" t="s">
        <v>1604</v>
      </c>
      <c r="E912" s="1" t="s">
        <v>2023</v>
      </c>
      <c r="F912" s="1" t="s">
        <v>2026</v>
      </c>
      <c r="G912" s="8" t="s">
        <v>1607</v>
      </c>
      <c r="I912" s="1" t="n">
        <v>0</v>
      </c>
    </row>
    <row r="913" customFormat="false" ht="15" hidden="false" customHeight="false" outlineLevel="0" collapsed="false">
      <c r="A913" s="1" t="s">
        <v>2025</v>
      </c>
      <c r="B913" s="1" t="s">
        <v>1062</v>
      </c>
      <c r="C913" s="1" t="s">
        <v>1642</v>
      </c>
      <c r="D913" s="1" t="s">
        <v>1604</v>
      </c>
      <c r="E913" s="1" t="s">
        <v>2023</v>
      </c>
      <c r="F913" s="1" t="s">
        <v>2026</v>
      </c>
      <c r="G913" s="8" t="s">
        <v>1607</v>
      </c>
      <c r="I913" s="1" t="n">
        <v>0</v>
      </c>
    </row>
    <row r="914" customFormat="false" ht="15" hidden="false" customHeight="false" outlineLevel="0" collapsed="false">
      <c r="A914" s="1" t="s">
        <v>2025</v>
      </c>
      <c r="B914" s="1" t="s">
        <v>1062</v>
      </c>
      <c r="C914" s="1" t="s">
        <v>1643</v>
      </c>
      <c r="D914" s="1" t="s">
        <v>1604</v>
      </c>
      <c r="E914" s="1" t="s">
        <v>2023</v>
      </c>
      <c r="F914" s="1" t="s">
        <v>2026</v>
      </c>
      <c r="G914" s="8" t="s">
        <v>1607</v>
      </c>
      <c r="I914" s="1" t="n">
        <v>0</v>
      </c>
    </row>
    <row r="915" customFormat="false" ht="15" hidden="false" customHeight="false" outlineLevel="0" collapsed="false">
      <c r="A915" s="1" t="s">
        <v>2025</v>
      </c>
      <c r="B915" s="1" t="s">
        <v>1062</v>
      </c>
      <c r="C915" s="1" t="s">
        <v>1644</v>
      </c>
      <c r="D915" s="1" t="s">
        <v>1604</v>
      </c>
      <c r="E915" s="1" t="s">
        <v>2023</v>
      </c>
      <c r="F915" s="1" t="s">
        <v>2026</v>
      </c>
      <c r="G915" s="8" t="s">
        <v>1607</v>
      </c>
      <c r="I915" s="1" t="n">
        <v>0</v>
      </c>
    </row>
    <row r="916" customFormat="false" ht="15" hidden="false" customHeight="false" outlineLevel="0" collapsed="false">
      <c r="A916" s="1" t="s">
        <v>2025</v>
      </c>
      <c r="B916" s="1" t="s">
        <v>1062</v>
      </c>
      <c r="C916" s="1" t="s">
        <v>1645</v>
      </c>
      <c r="D916" s="1" t="s">
        <v>1604</v>
      </c>
      <c r="E916" s="1" t="s">
        <v>2023</v>
      </c>
      <c r="F916" s="1" t="s">
        <v>2026</v>
      </c>
      <c r="G916" s="8" t="s">
        <v>1607</v>
      </c>
      <c r="I916" s="1" t="n">
        <v>0</v>
      </c>
    </row>
    <row r="917" customFormat="false" ht="15" hidden="false" customHeight="false" outlineLevel="0" collapsed="false">
      <c r="A917" s="1" t="s">
        <v>2025</v>
      </c>
      <c r="B917" s="1" t="s">
        <v>1064</v>
      </c>
      <c r="C917" s="1" t="s">
        <v>1065</v>
      </c>
      <c r="D917" s="1" t="s">
        <v>1604</v>
      </c>
      <c r="E917" s="1" t="s">
        <v>2023</v>
      </c>
      <c r="F917" s="1" t="s">
        <v>2026</v>
      </c>
      <c r="G917" s="8" t="s">
        <v>1632</v>
      </c>
      <c r="H917" s="1" t="s">
        <v>1066</v>
      </c>
      <c r="I917" s="1" t="n">
        <v>12</v>
      </c>
    </row>
    <row r="918" customFormat="false" ht="15" hidden="false" customHeight="false" outlineLevel="0" collapsed="false">
      <c r="A918" s="1" t="s">
        <v>2025</v>
      </c>
      <c r="B918" s="1" t="s">
        <v>1067</v>
      </c>
      <c r="C918" s="1" t="s">
        <v>1068</v>
      </c>
      <c r="D918" s="1" t="s">
        <v>1604</v>
      </c>
      <c r="E918" s="1" t="s">
        <v>2023</v>
      </c>
      <c r="F918" s="1" t="s">
        <v>2026</v>
      </c>
      <c r="G918" s="8" t="s">
        <v>1607</v>
      </c>
      <c r="I918" s="1" t="n">
        <v>0</v>
      </c>
    </row>
    <row r="919" customFormat="false" ht="15" hidden="false" customHeight="false" outlineLevel="0" collapsed="false">
      <c r="A919" s="1" t="s">
        <v>2025</v>
      </c>
      <c r="B919" s="1" t="s">
        <v>1067</v>
      </c>
      <c r="C919" s="1" t="s">
        <v>1646</v>
      </c>
      <c r="D919" s="1" t="s">
        <v>1604</v>
      </c>
      <c r="E919" s="1" t="s">
        <v>2023</v>
      </c>
      <c r="F919" s="1" t="s">
        <v>2026</v>
      </c>
      <c r="G919" s="8" t="s">
        <v>1607</v>
      </c>
      <c r="I919" s="1" t="n">
        <v>0</v>
      </c>
    </row>
    <row r="920" customFormat="false" ht="15" hidden="false" customHeight="false" outlineLevel="0" collapsed="false">
      <c r="A920" s="1" t="s">
        <v>2025</v>
      </c>
      <c r="B920" s="1" t="s">
        <v>1067</v>
      </c>
      <c r="C920" s="1" t="s">
        <v>1647</v>
      </c>
      <c r="D920" s="1" t="s">
        <v>1604</v>
      </c>
      <c r="E920" s="1" t="s">
        <v>2023</v>
      </c>
      <c r="F920" s="1" t="s">
        <v>2026</v>
      </c>
      <c r="G920" s="8" t="s">
        <v>1607</v>
      </c>
      <c r="I920" s="1" t="n">
        <v>0</v>
      </c>
    </row>
    <row r="921" customFormat="false" ht="15" hidden="false" customHeight="false" outlineLevel="0" collapsed="false">
      <c r="A921" s="1" t="s">
        <v>2025</v>
      </c>
      <c r="B921" s="1" t="s">
        <v>1067</v>
      </c>
      <c r="C921" s="1" t="s">
        <v>1648</v>
      </c>
      <c r="D921" s="1" t="s">
        <v>1604</v>
      </c>
      <c r="E921" s="1" t="s">
        <v>2023</v>
      </c>
      <c r="F921" s="1" t="s">
        <v>2026</v>
      </c>
      <c r="G921" s="8" t="s">
        <v>1607</v>
      </c>
      <c r="I921" s="1" t="n">
        <v>0</v>
      </c>
    </row>
    <row r="922" customFormat="false" ht="15" hidden="false" customHeight="false" outlineLevel="0" collapsed="false">
      <c r="A922" s="1" t="s">
        <v>2025</v>
      </c>
      <c r="B922" s="1" t="s">
        <v>1067</v>
      </c>
      <c r="C922" s="1" t="s">
        <v>1649</v>
      </c>
      <c r="D922" s="1" t="s">
        <v>1604</v>
      </c>
      <c r="E922" s="1" t="s">
        <v>2023</v>
      </c>
      <c r="F922" s="1" t="s">
        <v>2026</v>
      </c>
      <c r="G922" s="8" t="s">
        <v>1607</v>
      </c>
      <c r="I922" s="1" t="n">
        <v>0</v>
      </c>
    </row>
    <row r="923" customFormat="false" ht="15" hidden="false" customHeight="false" outlineLevel="0" collapsed="false">
      <c r="A923" s="1" t="s">
        <v>2025</v>
      </c>
      <c r="B923" s="1" t="s">
        <v>1069</v>
      </c>
      <c r="C923" s="1" t="s">
        <v>1070</v>
      </c>
      <c r="D923" s="1" t="s">
        <v>1604</v>
      </c>
      <c r="E923" s="1" t="s">
        <v>2023</v>
      </c>
      <c r="F923" s="1" t="s">
        <v>2026</v>
      </c>
      <c r="G923" s="8" t="s">
        <v>1607</v>
      </c>
      <c r="I923" s="1" t="n">
        <v>0</v>
      </c>
    </row>
    <row r="924" customFormat="false" ht="15" hidden="false" customHeight="false" outlineLevel="0" collapsed="false">
      <c r="A924" s="1" t="s">
        <v>2025</v>
      </c>
      <c r="B924" s="1" t="s">
        <v>1071</v>
      </c>
      <c r="C924" s="1" t="s">
        <v>1072</v>
      </c>
      <c r="D924" s="1" t="s">
        <v>1604</v>
      </c>
      <c r="E924" s="1" t="s">
        <v>2023</v>
      </c>
      <c r="F924" s="1" t="s">
        <v>2026</v>
      </c>
      <c r="G924" s="8" t="s">
        <v>1607</v>
      </c>
      <c r="I924" s="1" t="n">
        <v>0</v>
      </c>
    </row>
    <row r="925" customFormat="false" ht="15" hidden="false" customHeight="false" outlineLevel="0" collapsed="false">
      <c r="A925" s="1" t="s">
        <v>2025</v>
      </c>
      <c r="B925" s="1" t="s">
        <v>1071</v>
      </c>
      <c r="C925" s="1" t="s">
        <v>1650</v>
      </c>
      <c r="D925" s="1" t="s">
        <v>1604</v>
      </c>
      <c r="E925" s="1" t="s">
        <v>2023</v>
      </c>
      <c r="F925" s="1" t="s">
        <v>2026</v>
      </c>
      <c r="G925" s="8" t="s">
        <v>1607</v>
      </c>
      <c r="I925" s="1" t="n">
        <v>0</v>
      </c>
    </row>
    <row r="926" customFormat="false" ht="15" hidden="false" customHeight="false" outlineLevel="0" collapsed="false">
      <c r="A926" s="1" t="s">
        <v>2025</v>
      </c>
      <c r="B926" s="1" t="s">
        <v>1071</v>
      </c>
      <c r="C926" s="1" t="s">
        <v>1651</v>
      </c>
      <c r="D926" s="1" t="s">
        <v>1604</v>
      </c>
      <c r="E926" s="1" t="s">
        <v>2023</v>
      </c>
      <c r="F926" s="1" t="s">
        <v>2026</v>
      </c>
      <c r="G926" s="8" t="s">
        <v>1607</v>
      </c>
      <c r="I926" s="1" t="n">
        <v>0</v>
      </c>
    </row>
    <row r="927" customFormat="false" ht="15" hidden="false" customHeight="false" outlineLevel="0" collapsed="false">
      <c r="A927" s="1" t="s">
        <v>2025</v>
      </c>
      <c r="B927" s="1" t="s">
        <v>1071</v>
      </c>
      <c r="C927" s="1" t="s">
        <v>1652</v>
      </c>
      <c r="D927" s="1" t="s">
        <v>1604</v>
      </c>
      <c r="E927" s="1" t="s">
        <v>2023</v>
      </c>
      <c r="F927" s="1" t="s">
        <v>2026</v>
      </c>
      <c r="G927" s="8" t="s">
        <v>1607</v>
      </c>
      <c r="I927" s="1" t="n">
        <v>0</v>
      </c>
    </row>
    <row r="928" customFormat="false" ht="15" hidden="false" customHeight="false" outlineLevel="0" collapsed="false">
      <c r="A928" s="1" t="s">
        <v>2025</v>
      </c>
      <c r="B928" s="1" t="s">
        <v>1073</v>
      </c>
      <c r="C928" s="1" t="s">
        <v>1074</v>
      </c>
      <c r="D928" s="1" t="s">
        <v>1604</v>
      </c>
      <c r="E928" s="1" t="s">
        <v>2023</v>
      </c>
      <c r="F928" s="1" t="s">
        <v>2026</v>
      </c>
      <c r="G928" s="8" t="s">
        <v>1607</v>
      </c>
      <c r="I928" s="1" t="n">
        <v>0</v>
      </c>
    </row>
    <row r="929" customFormat="false" ht="15" hidden="false" customHeight="false" outlineLevel="0" collapsed="false">
      <c r="A929" s="1" t="s">
        <v>2025</v>
      </c>
      <c r="B929" s="1" t="s">
        <v>1073</v>
      </c>
      <c r="C929" s="1" t="s">
        <v>1653</v>
      </c>
      <c r="D929" s="1" t="s">
        <v>1604</v>
      </c>
      <c r="E929" s="1" t="s">
        <v>2023</v>
      </c>
      <c r="F929" s="1" t="s">
        <v>2026</v>
      </c>
      <c r="G929" s="8" t="s">
        <v>1607</v>
      </c>
      <c r="I929" s="1" t="n">
        <v>0</v>
      </c>
    </row>
    <row r="930" customFormat="false" ht="15" hidden="false" customHeight="false" outlineLevel="0" collapsed="false">
      <c r="A930" s="1" t="s">
        <v>2025</v>
      </c>
      <c r="B930" s="1" t="s">
        <v>1073</v>
      </c>
      <c r="C930" s="1" t="s">
        <v>1654</v>
      </c>
      <c r="D930" s="1" t="s">
        <v>1604</v>
      </c>
      <c r="E930" s="1" t="s">
        <v>2023</v>
      </c>
      <c r="F930" s="1" t="s">
        <v>2026</v>
      </c>
      <c r="G930" s="8" t="s">
        <v>1607</v>
      </c>
      <c r="I930" s="1" t="n">
        <v>0</v>
      </c>
    </row>
    <row r="931" customFormat="false" ht="15" hidden="false" customHeight="false" outlineLevel="0" collapsed="false">
      <c r="A931" s="1" t="s">
        <v>2025</v>
      </c>
      <c r="B931" s="1" t="s">
        <v>1073</v>
      </c>
      <c r="C931" s="1" t="s">
        <v>1655</v>
      </c>
      <c r="D931" s="1" t="s">
        <v>1604</v>
      </c>
      <c r="E931" s="1" t="s">
        <v>2023</v>
      </c>
      <c r="F931" s="1" t="s">
        <v>2026</v>
      </c>
      <c r="G931" s="8" t="s">
        <v>1607</v>
      </c>
      <c r="I931" s="1" t="n">
        <v>0</v>
      </c>
    </row>
    <row r="932" customFormat="false" ht="15" hidden="false" customHeight="false" outlineLevel="0" collapsed="false">
      <c r="A932" s="1" t="s">
        <v>2025</v>
      </c>
      <c r="B932" s="1" t="s">
        <v>1075</v>
      </c>
      <c r="C932" s="1" t="s">
        <v>1076</v>
      </c>
      <c r="D932" s="1" t="s">
        <v>1604</v>
      </c>
      <c r="E932" s="1" t="s">
        <v>2023</v>
      </c>
      <c r="F932" s="1" t="s">
        <v>2026</v>
      </c>
      <c r="G932" s="8" t="s">
        <v>1607</v>
      </c>
      <c r="I932" s="1" t="n">
        <v>0</v>
      </c>
    </row>
    <row r="933" customFormat="false" ht="15" hidden="false" customHeight="false" outlineLevel="0" collapsed="false">
      <c r="A933" s="1" t="s">
        <v>2025</v>
      </c>
      <c r="B933" s="1" t="s">
        <v>1075</v>
      </c>
      <c r="C933" s="1" t="s">
        <v>1656</v>
      </c>
      <c r="D933" s="1" t="s">
        <v>1604</v>
      </c>
      <c r="E933" s="1" t="s">
        <v>2023</v>
      </c>
      <c r="F933" s="1" t="s">
        <v>2026</v>
      </c>
      <c r="G933" s="8" t="s">
        <v>1607</v>
      </c>
      <c r="I933" s="1" t="n">
        <v>0</v>
      </c>
    </row>
    <row r="934" customFormat="false" ht="15" hidden="false" customHeight="false" outlineLevel="0" collapsed="false">
      <c r="A934" s="1" t="s">
        <v>2025</v>
      </c>
      <c r="B934" s="1" t="s">
        <v>1075</v>
      </c>
      <c r="C934" s="1" t="s">
        <v>1657</v>
      </c>
      <c r="D934" s="1" t="s">
        <v>1604</v>
      </c>
      <c r="E934" s="1" t="s">
        <v>2023</v>
      </c>
      <c r="F934" s="1" t="s">
        <v>2026</v>
      </c>
      <c r="G934" s="8" t="s">
        <v>1607</v>
      </c>
      <c r="I934" s="1" t="n">
        <v>0</v>
      </c>
    </row>
    <row r="935" customFormat="false" ht="15" hidden="false" customHeight="false" outlineLevel="0" collapsed="false">
      <c r="A935" s="1" t="s">
        <v>2025</v>
      </c>
      <c r="B935" s="1" t="s">
        <v>1077</v>
      </c>
      <c r="C935" s="1" t="s">
        <v>1078</v>
      </c>
      <c r="D935" s="1" t="s">
        <v>1604</v>
      </c>
      <c r="E935" s="1" t="s">
        <v>2023</v>
      </c>
      <c r="F935" s="1" t="s">
        <v>2026</v>
      </c>
      <c r="G935" s="8" t="s">
        <v>1607</v>
      </c>
      <c r="I935" s="1" t="n">
        <v>0</v>
      </c>
    </row>
    <row r="936" customFormat="false" ht="15" hidden="false" customHeight="false" outlineLevel="0" collapsed="false">
      <c r="A936" s="1" t="s">
        <v>2025</v>
      </c>
      <c r="B936" s="1" t="s">
        <v>1079</v>
      </c>
      <c r="C936" s="1" t="s">
        <v>1080</v>
      </c>
      <c r="D936" s="1" t="s">
        <v>1604</v>
      </c>
      <c r="E936" s="1" t="s">
        <v>2023</v>
      </c>
      <c r="F936" s="1" t="s">
        <v>2026</v>
      </c>
      <c r="G936" s="8" t="s">
        <v>1607</v>
      </c>
      <c r="I936" s="1" t="n">
        <v>0</v>
      </c>
    </row>
    <row r="937" customFormat="false" ht="15" hidden="false" customHeight="false" outlineLevel="0" collapsed="false">
      <c r="A937" s="1" t="s">
        <v>2025</v>
      </c>
      <c r="B937" s="1" t="s">
        <v>1079</v>
      </c>
      <c r="C937" s="1" t="s">
        <v>1658</v>
      </c>
      <c r="D937" s="1" t="s">
        <v>1604</v>
      </c>
      <c r="E937" s="1" t="s">
        <v>2023</v>
      </c>
      <c r="F937" s="1" t="s">
        <v>2026</v>
      </c>
      <c r="G937" s="8" t="s">
        <v>1607</v>
      </c>
      <c r="I937" s="1" t="n">
        <v>0</v>
      </c>
    </row>
    <row r="938" customFormat="false" ht="15" hidden="false" customHeight="false" outlineLevel="0" collapsed="false">
      <c r="A938" s="1" t="s">
        <v>2025</v>
      </c>
      <c r="B938" s="1" t="s">
        <v>1079</v>
      </c>
      <c r="C938" s="1" t="s">
        <v>1659</v>
      </c>
      <c r="D938" s="1" t="s">
        <v>1604</v>
      </c>
      <c r="E938" s="1" t="s">
        <v>2023</v>
      </c>
      <c r="F938" s="1" t="s">
        <v>2026</v>
      </c>
      <c r="G938" s="8" t="s">
        <v>1607</v>
      </c>
      <c r="I938" s="1" t="n">
        <v>0</v>
      </c>
    </row>
    <row r="939" customFormat="false" ht="15" hidden="false" customHeight="false" outlineLevel="0" collapsed="false">
      <c r="A939" s="1" t="s">
        <v>2025</v>
      </c>
      <c r="B939" s="1" t="s">
        <v>1081</v>
      </c>
      <c r="C939" s="1" t="s">
        <v>1082</v>
      </c>
      <c r="D939" s="1" t="s">
        <v>1604</v>
      </c>
      <c r="E939" s="1" t="s">
        <v>2023</v>
      </c>
      <c r="F939" s="1" t="s">
        <v>2026</v>
      </c>
      <c r="G939" s="8" t="s">
        <v>1607</v>
      </c>
      <c r="I939" s="1" t="n">
        <v>2</v>
      </c>
    </row>
    <row r="940" customFormat="false" ht="15" hidden="false" customHeight="false" outlineLevel="0" collapsed="false">
      <c r="A940" s="1" t="s">
        <v>2025</v>
      </c>
      <c r="B940" s="1" t="s">
        <v>1083</v>
      </c>
      <c r="C940" s="1" t="s">
        <v>1084</v>
      </c>
      <c r="D940" s="1" t="s">
        <v>1604</v>
      </c>
      <c r="E940" s="1" t="s">
        <v>2023</v>
      </c>
      <c r="F940" s="1" t="s">
        <v>2026</v>
      </c>
      <c r="G940" s="8" t="s">
        <v>1607</v>
      </c>
      <c r="I940" s="1" t="n">
        <v>1</v>
      </c>
    </row>
    <row r="941" customFormat="false" ht="15" hidden="false" customHeight="false" outlineLevel="0" collapsed="false">
      <c r="A941" s="1" t="s">
        <v>2025</v>
      </c>
      <c r="B941" s="1" t="s">
        <v>1083</v>
      </c>
      <c r="C941" s="1" t="s">
        <v>1660</v>
      </c>
      <c r="D941" s="1" t="s">
        <v>1604</v>
      </c>
      <c r="E941" s="1" t="s">
        <v>2023</v>
      </c>
      <c r="F941" s="1" t="s">
        <v>2026</v>
      </c>
      <c r="G941" s="8" t="s">
        <v>1607</v>
      </c>
      <c r="I941" s="1" t="n">
        <v>0</v>
      </c>
    </row>
    <row r="942" customFormat="false" ht="15" hidden="false" customHeight="false" outlineLevel="0" collapsed="false">
      <c r="A942" s="1" t="s">
        <v>2025</v>
      </c>
      <c r="B942" s="1" t="s">
        <v>1083</v>
      </c>
      <c r="C942" s="1" t="s">
        <v>1661</v>
      </c>
      <c r="D942" s="1" t="s">
        <v>1604</v>
      </c>
      <c r="E942" s="1" t="s">
        <v>2023</v>
      </c>
      <c r="F942" s="1" t="s">
        <v>2026</v>
      </c>
      <c r="G942" s="8" t="s">
        <v>1607</v>
      </c>
      <c r="I942" s="1" t="n">
        <v>0</v>
      </c>
    </row>
    <row r="943" customFormat="false" ht="15" hidden="false" customHeight="false" outlineLevel="0" collapsed="false">
      <c r="A943" s="1" t="s">
        <v>2025</v>
      </c>
      <c r="B943" s="1" t="s">
        <v>1083</v>
      </c>
      <c r="C943" s="1" t="s">
        <v>1662</v>
      </c>
      <c r="D943" s="1" t="s">
        <v>1604</v>
      </c>
      <c r="E943" s="1" t="s">
        <v>2023</v>
      </c>
      <c r="F943" s="1" t="s">
        <v>2026</v>
      </c>
      <c r="G943" s="8" t="s">
        <v>1607</v>
      </c>
      <c r="I943" s="1" t="n">
        <v>0</v>
      </c>
    </row>
    <row r="944" customFormat="false" ht="15" hidden="false" customHeight="false" outlineLevel="0" collapsed="false">
      <c r="A944" s="1" t="s">
        <v>2025</v>
      </c>
      <c r="B944" s="1" t="s">
        <v>1083</v>
      </c>
      <c r="C944" s="1" t="s">
        <v>1663</v>
      </c>
      <c r="D944" s="1" t="s">
        <v>1604</v>
      </c>
      <c r="E944" s="1" t="s">
        <v>2023</v>
      </c>
      <c r="F944" s="1" t="s">
        <v>2026</v>
      </c>
      <c r="G944" s="8" t="s">
        <v>1607</v>
      </c>
      <c r="I944" s="1" t="n">
        <v>0</v>
      </c>
    </row>
    <row r="945" customFormat="false" ht="15" hidden="false" customHeight="false" outlineLevel="0" collapsed="false">
      <c r="A945" s="1" t="s">
        <v>2025</v>
      </c>
      <c r="B945" s="1" t="s">
        <v>1085</v>
      </c>
      <c r="C945" s="1" t="s">
        <v>1086</v>
      </c>
      <c r="D945" s="1" t="s">
        <v>1604</v>
      </c>
      <c r="E945" s="1" t="s">
        <v>2023</v>
      </c>
      <c r="F945" s="1" t="s">
        <v>2026</v>
      </c>
      <c r="G945" s="8" t="s">
        <v>1607</v>
      </c>
      <c r="I945" s="1" t="n">
        <v>1</v>
      </c>
    </row>
    <row r="946" customFormat="false" ht="15" hidden="false" customHeight="false" outlineLevel="0" collapsed="false">
      <c r="A946" s="1" t="s">
        <v>2025</v>
      </c>
      <c r="B946" s="1" t="s">
        <v>1085</v>
      </c>
      <c r="C946" s="1" t="s">
        <v>1664</v>
      </c>
      <c r="D946" s="1" t="s">
        <v>1604</v>
      </c>
      <c r="E946" s="1" t="s">
        <v>2023</v>
      </c>
      <c r="F946" s="1" t="s">
        <v>2026</v>
      </c>
      <c r="G946" s="8" t="s">
        <v>1607</v>
      </c>
      <c r="I946" s="1" t="n">
        <v>0</v>
      </c>
    </row>
    <row r="947" customFormat="false" ht="15" hidden="false" customHeight="false" outlineLevel="0" collapsed="false">
      <c r="A947" s="1" t="s">
        <v>2025</v>
      </c>
      <c r="B947" s="1" t="s">
        <v>1085</v>
      </c>
      <c r="C947" s="1" t="s">
        <v>1665</v>
      </c>
      <c r="D947" s="1" t="s">
        <v>1604</v>
      </c>
      <c r="E947" s="1" t="s">
        <v>2023</v>
      </c>
      <c r="F947" s="1" t="s">
        <v>2026</v>
      </c>
      <c r="G947" s="8" t="s">
        <v>1607</v>
      </c>
      <c r="I947" s="1" t="n">
        <v>0</v>
      </c>
    </row>
    <row r="948" customFormat="false" ht="15" hidden="false" customHeight="false" outlineLevel="0" collapsed="false">
      <c r="A948" s="1" t="s">
        <v>2025</v>
      </c>
      <c r="B948" s="1" t="s">
        <v>1085</v>
      </c>
      <c r="C948" s="1" t="s">
        <v>1666</v>
      </c>
      <c r="D948" s="1" t="s">
        <v>1604</v>
      </c>
      <c r="E948" s="1" t="s">
        <v>2023</v>
      </c>
      <c r="F948" s="1" t="s">
        <v>2026</v>
      </c>
      <c r="G948" s="8" t="s">
        <v>1607</v>
      </c>
      <c r="I948" s="1" t="n">
        <v>0</v>
      </c>
    </row>
    <row r="949" customFormat="false" ht="15" hidden="false" customHeight="false" outlineLevel="0" collapsed="false">
      <c r="A949" s="1" t="s">
        <v>2025</v>
      </c>
      <c r="B949" s="1" t="s">
        <v>1327</v>
      </c>
      <c r="C949" s="1" t="s">
        <v>1328</v>
      </c>
      <c r="D949" s="1" t="s">
        <v>1604</v>
      </c>
      <c r="E949" s="1" t="s">
        <v>2023</v>
      </c>
      <c r="F949" s="1" t="s">
        <v>2026</v>
      </c>
      <c r="G949" s="8" t="s">
        <v>1607</v>
      </c>
      <c r="I949" s="1" t="n">
        <v>2</v>
      </c>
    </row>
    <row r="950" customFormat="false" ht="15" hidden="false" customHeight="false" outlineLevel="0" collapsed="false">
      <c r="A950" s="1" t="s">
        <v>2025</v>
      </c>
      <c r="B950" s="1" t="s">
        <v>1327</v>
      </c>
      <c r="C950" s="1" t="s">
        <v>1667</v>
      </c>
      <c r="D950" s="1" t="s">
        <v>1604</v>
      </c>
      <c r="E950" s="1" t="s">
        <v>2023</v>
      </c>
      <c r="F950" s="1" t="s">
        <v>2026</v>
      </c>
      <c r="G950" s="8" t="s">
        <v>1607</v>
      </c>
      <c r="I950" s="1" t="n">
        <v>0</v>
      </c>
    </row>
    <row r="951" customFormat="false" ht="15" hidden="false" customHeight="false" outlineLevel="0" collapsed="false">
      <c r="A951" s="1" t="s">
        <v>2025</v>
      </c>
      <c r="B951" s="1" t="s">
        <v>1327</v>
      </c>
      <c r="C951" s="1" t="s">
        <v>1668</v>
      </c>
      <c r="D951" s="1" t="s">
        <v>1604</v>
      </c>
      <c r="E951" s="1" t="s">
        <v>2023</v>
      </c>
      <c r="F951" s="1" t="s">
        <v>2026</v>
      </c>
      <c r="G951" s="8" t="s">
        <v>1607</v>
      </c>
      <c r="I951" s="1" t="n">
        <v>0</v>
      </c>
    </row>
    <row r="952" customFormat="false" ht="15" hidden="false" customHeight="false" outlineLevel="0" collapsed="false">
      <c r="A952" s="1" t="s">
        <v>2025</v>
      </c>
      <c r="B952" s="1" t="s">
        <v>1327</v>
      </c>
      <c r="C952" s="1" t="s">
        <v>1669</v>
      </c>
      <c r="D952" s="1" t="s">
        <v>1604</v>
      </c>
      <c r="E952" s="1" t="s">
        <v>2023</v>
      </c>
      <c r="F952" s="1" t="s">
        <v>2026</v>
      </c>
      <c r="G952" s="8" t="s">
        <v>1607</v>
      </c>
      <c r="I952" s="1" t="n">
        <v>0</v>
      </c>
    </row>
    <row r="953" customFormat="false" ht="15" hidden="false" customHeight="false" outlineLevel="0" collapsed="false">
      <c r="A953" s="1" t="s">
        <v>2025</v>
      </c>
      <c r="B953" s="1" t="s">
        <v>1327</v>
      </c>
      <c r="C953" s="1" t="s">
        <v>1670</v>
      </c>
      <c r="D953" s="1" t="s">
        <v>1604</v>
      </c>
      <c r="E953" s="1" t="s">
        <v>2023</v>
      </c>
      <c r="F953" s="1" t="s">
        <v>2026</v>
      </c>
      <c r="G953" s="8" t="s">
        <v>1607</v>
      </c>
      <c r="I953" s="1" t="n">
        <v>0</v>
      </c>
    </row>
    <row r="954" customFormat="false" ht="15" hidden="false" customHeight="false" outlineLevel="0" collapsed="false">
      <c r="A954" s="1" t="s">
        <v>2025</v>
      </c>
      <c r="B954" s="1" t="s">
        <v>1327</v>
      </c>
      <c r="C954" s="1" t="s">
        <v>1671</v>
      </c>
      <c r="D954" s="1" t="s">
        <v>1604</v>
      </c>
      <c r="E954" s="1" t="s">
        <v>2023</v>
      </c>
      <c r="F954" s="1" t="s">
        <v>2026</v>
      </c>
      <c r="G954" s="8" t="s">
        <v>1607</v>
      </c>
      <c r="I954" s="1" t="n">
        <v>0</v>
      </c>
    </row>
    <row r="955" customFormat="false" ht="15" hidden="false" customHeight="false" outlineLevel="0" collapsed="false">
      <c r="A955" s="1" t="s">
        <v>2025</v>
      </c>
      <c r="B955" s="1" t="s">
        <v>1327</v>
      </c>
      <c r="C955" s="1" t="s">
        <v>1672</v>
      </c>
      <c r="D955" s="1" t="s">
        <v>1604</v>
      </c>
      <c r="E955" s="1" t="s">
        <v>2023</v>
      </c>
      <c r="F955" s="1" t="s">
        <v>2026</v>
      </c>
      <c r="G955" s="8" t="s">
        <v>1607</v>
      </c>
      <c r="I955" s="1" t="n">
        <v>0</v>
      </c>
    </row>
    <row r="956" customFormat="false" ht="15" hidden="false" customHeight="false" outlineLevel="0" collapsed="false">
      <c r="A956" s="1" t="s">
        <v>2025</v>
      </c>
      <c r="B956" s="1" t="s">
        <v>1327</v>
      </c>
      <c r="C956" s="1" t="s">
        <v>1673</v>
      </c>
      <c r="D956" s="1" t="s">
        <v>1604</v>
      </c>
      <c r="E956" s="1" t="s">
        <v>2023</v>
      </c>
      <c r="F956" s="1" t="s">
        <v>2026</v>
      </c>
      <c r="G956" s="8" t="s">
        <v>1607</v>
      </c>
      <c r="I956" s="1" t="n">
        <v>0</v>
      </c>
    </row>
    <row r="957" customFormat="false" ht="15" hidden="false" customHeight="false" outlineLevel="0" collapsed="false">
      <c r="A957" s="1" t="s">
        <v>2025</v>
      </c>
      <c r="B957" s="1" t="s">
        <v>1327</v>
      </c>
      <c r="C957" s="1" t="s">
        <v>1674</v>
      </c>
      <c r="D957" s="1" t="s">
        <v>1604</v>
      </c>
      <c r="E957" s="1" t="s">
        <v>2023</v>
      </c>
      <c r="F957" s="1" t="s">
        <v>2026</v>
      </c>
      <c r="G957" s="8" t="s">
        <v>1607</v>
      </c>
      <c r="I957" s="1" t="n">
        <v>0</v>
      </c>
    </row>
    <row r="958" customFormat="false" ht="15" hidden="false" customHeight="false" outlineLevel="0" collapsed="false">
      <c r="A958" s="1" t="s">
        <v>2025</v>
      </c>
      <c r="B958" s="1" t="s">
        <v>1327</v>
      </c>
      <c r="C958" s="1" t="s">
        <v>1675</v>
      </c>
      <c r="D958" s="1" t="s">
        <v>1604</v>
      </c>
      <c r="E958" s="1" t="s">
        <v>2023</v>
      </c>
      <c r="F958" s="1" t="s">
        <v>2026</v>
      </c>
      <c r="G958" s="8" t="s">
        <v>1607</v>
      </c>
      <c r="I958" s="1" t="n">
        <v>0</v>
      </c>
    </row>
    <row r="959" customFormat="false" ht="15" hidden="false" customHeight="false" outlineLevel="0" collapsed="false">
      <c r="A959" s="1" t="s">
        <v>2025</v>
      </c>
      <c r="B959" s="1" t="s">
        <v>1331</v>
      </c>
      <c r="C959" s="1" t="s">
        <v>1332</v>
      </c>
      <c r="D959" s="1" t="s">
        <v>1604</v>
      </c>
      <c r="E959" s="1" t="s">
        <v>2023</v>
      </c>
      <c r="F959" s="1" t="s">
        <v>2026</v>
      </c>
      <c r="G959" s="8" t="s">
        <v>1607</v>
      </c>
      <c r="I959" s="1" t="n">
        <v>0</v>
      </c>
    </row>
    <row r="960" customFormat="false" ht="15" hidden="false" customHeight="false" outlineLevel="0" collapsed="false">
      <c r="A960" s="1" t="s">
        <v>2025</v>
      </c>
      <c r="B960" s="1" t="s">
        <v>1331</v>
      </c>
      <c r="C960" s="1" t="s">
        <v>1676</v>
      </c>
      <c r="D960" s="1" t="s">
        <v>1604</v>
      </c>
      <c r="E960" s="1" t="s">
        <v>2023</v>
      </c>
      <c r="F960" s="1" t="s">
        <v>2026</v>
      </c>
      <c r="G960" s="8" t="s">
        <v>1607</v>
      </c>
      <c r="I960" s="1" t="n">
        <v>0</v>
      </c>
    </row>
    <row r="961" customFormat="false" ht="15" hidden="false" customHeight="false" outlineLevel="0" collapsed="false">
      <c r="A961" s="1" t="s">
        <v>2025</v>
      </c>
      <c r="B961" s="1" t="s">
        <v>1331</v>
      </c>
      <c r="C961" s="1" t="s">
        <v>1677</v>
      </c>
      <c r="D961" s="1" t="s">
        <v>1604</v>
      </c>
      <c r="E961" s="1" t="s">
        <v>2023</v>
      </c>
      <c r="F961" s="1" t="s">
        <v>2026</v>
      </c>
      <c r="G961" s="8" t="s">
        <v>1607</v>
      </c>
      <c r="I961" s="1" t="n">
        <v>0</v>
      </c>
    </row>
    <row r="962" customFormat="false" ht="15" hidden="false" customHeight="false" outlineLevel="0" collapsed="false">
      <c r="A962" s="1" t="s">
        <v>2025</v>
      </c>
      <c r="B962" s="1" t="s">
        <v>1331</v>
      </c>
      <c r="C962" s="1" t="s">
        <v>1678</v>
      </c>
      <c r="D962" s="1" t="s">
        <v>1604</v>
      </c>
      <c r="E962" s="1" t="s">
        <v>2023</v>
      </c>
      <c r="F962" s="1" t="s">
        <v>2026</v>
      </c>
      <c r="G962" s="8" t="s">
        <v>1607</v>
      </c>
      <c r="I962" s="1" t="n">
        <v>0</v>
      </c>
    </row>
    <row r="963" customFormat="false" ht="15" hidden="false" customHeight="false" outlineLevel="0" collapsed="false">
      <c r="A963" s="1" t="s">
        <v>2025</v>
      </c>
      <c r="B963" s="1" t="s">
        <v>1333</v>
      </c>
      <c r="C963" s="1" t="s">
        <v>1334</v>
      </c>
      <c r="D963" s="1" t="s">
        <v>1604</v>
      </c>
      <c r="E963" s="1" t="s">
        <v>2023</v>
      </c>
      <c r="F963" s="1" t="s">
        <v>2026</v>
      </c>
      <c r="G963" s="8" t="s">
        <v>1632</v>
      </c>
      <c r="H963" s="1" t="s">
        <v>1335</v>
      </c>
      <c r="I963" s="1" t="n">
        <v>10</v>
      </c>
    </row>
    <row r="964" customFormat="false" ht="15" hidden="false" customHeight="false" outlineLevel="0" collapsed="false">
      <c r="A964" s="1" t="s">
        <v>2025</v>
      </c>
      <c r="B964" s="1" t="s">
        <v>1336</v>
      </c>
      <c r="C964" s="1" t="s">
        <v>1337</v>
      </c>
      <c r="D964" s="1" t="s">
        <v>1604</v>
      </c>
      <c r="E964" s="1" t="s">
        <v>2023</v>
      </c>
      <c r="F964" s="1" t="s">
        <v>2026</v>
      </c>
      <c r="G964" s="8" t="s">
        <v>1607</v>
      </c>
      <c r="I964" s="1" t="n">
        <v>1</v>
      </c>
    </row>
    <row r="965" customFormat="false" ht="15" hidden="false" customHeight="false" outlineLevel="0" collapsed="false">
      <c r="A965" s="1" t="s">
        <v>2025</v>
      </c>
      <c r="B965" s="1" t="s">
        <v>1336</v>
      </c>
      <c r="C965" s="1" t="s">
        <v>1679</v>
      </c>
      <c r="D965" s="1" t="s">
        <v>1604</v>
      </c>
      <c r="E965" s="1" t="s">
        <v>2023</v>
      </c>
      <c r="F965" s="1" t="s">
        <v>2026</v>
      </c>
      <c r="G965" s="8" t="s">
        <v>1607</v>
      </c>
      <c r="I965" s="1" t="n">
        <v>0</v>
      </c>
    </row>
    <row r="966" customFormat="false" ht="15" hidden="false" customHeight="false" outlineLevel="0" collapsed="false">
      <c r="A966" s="1" t="s">
        <v>2025</v>
      </c>
      <c r="B966" s="1" t="s">
        <v>1336</v>
      </c>
      <c r="C966" s="1" t="s">
        <v>1680</v>
      </c>
      <c r="D966" s="1" t="s">
        <v>1604</v>
      </c>
      <c r="E966" s="1" t="s">
        <v>2023</v>
      </c>
      <c r="F966" s="1" t="s">
        <v>2026</v>
      </c>
      <c r="G966" s="8" t="s">
        <v>1607</v>
      </c>
      <c r="I966" s="1" t="n">
        <v>0</v>
      </c>
    </row>
    <row r="967" customFormat="false" ht="15" hidden="false" customHeight="false" outlineLevel="0" collapsed="false">
      <c r="A967" s="1" t="s">
        <v>2025</v>
      </c>
      <c r="B967" s="1" t="s">
        <v>1338</v>
      </c>
      <c r="C967" s="1" t="s">
        <v>1339</v>
      </c>
      <c r="D967" s="1" t="s">
        <v>1604</v>
      </c>
      <c r="E967" s="1" t="s">
        <v>2023</v>
      </c>
      <c r="F967" s="1" t="s">
        <v>2026</v>
      </c>
      <c r="G967" s="8" t="s">
        <v>1607</v>
      </c>
      <c r="I967" s="1" t="n">
        <v>0</v>
      </c>
    </row>
    <row r="968" customFormat="false" ht="15" hidden="false" customHeight="false" outlineLevel="0" collapsed="false">
      <c r="A968" s="1" t="s">
        <v>2025</v>
      </c>
      <c r="B968" s="1" t="s">
        <v>1338</v>
      </c>
      <c r="C968" s="1" t="s">
        <v>1681</v>
      </c>
      <c r="D968" s="1" t="s">
        <v>1604</v>
      </c>
      <c r="E968" s="1" t="s">
        <v>2023</v>
      </c>
      <c r="F968" s="1" t="s">
        <v>2026</v>
      </c>
      <c r="G968" s="8" t="s">
        <v>1607</v>
      </c>
      <c r="I968" s="1" t="n">
        <v>0</v>
      </c>
    </row>
    <row r="969" customFormat="false" ht="15" hidden="false" customHeight="false" outlineLevel="0" collapsed="false">
      <c r="A969" s="1" t="s">
        <v>2025</v>
      </c>
      <c r="B969" s="1" t="s">
        <v>1338</v>
      </c>
      <c r="C969" s="1" t="s">
        <v>1682</v>
      </c>
      <c r="D969" s="1" t="s">
        <v>1604</v>
      </c>
      <c r="E969" s="1" t="s">
        <v>2023</v>
      </c>
      <c r="F969" s="1" t="s">
        <v>2026</v>
      </c>
      <c r="G969" s="8" t="s">
        <v>1607</v>
      </c>
      <c r="I969" s="1" t="n">
        <v>0</v>
      </c>
    </row>
    <row r="970" customFormat="false" ht="15" hidden="false" customHeight="false" outlineLevel="0" collapsed="false">
      <c r="A970" s="1" t="s">
        <v>2025</v>
      </c>
      <c r="B970" s="1" t="s">
        <v>1338</v>
      </c>
      <c r="C970" s="1" t="s">
        <v>1683</v>
      </c>
      <c r="D970" s="1" t="s">
        <v>1604</v>
      </c>
      <c r="E970" s="1" t="s">
        <v>2023</v>
      </c>
      <c r="F970" s="1" t="s">
        <v>2026</v>
      </c>
      <c r="G970" s="8" t="s">
        <v>1607</v>
      </c>
      <c r="I970" s="1" t="n">
        <v>0</v>
      </c>
    </row>
    <row r="971" customFormat="false" ht="15" hidden="false" customHeight="false" outlineLevel="0" collapsed="false">
      <c r="A971" s="1" t="s">
        <v>2025</v>
      </c>
      <c r="B971" s="1" t="s">
        <v>1338</v>
      </c>
      <c r="C971" s="1" t="s">
        <v>1684</v>
      </c>
      <c r="D971" s="1" t="s">
        <v>1604</v>
      </c>
      <c r="E971" s="1" t="s">
        <v>2023</v>
      </c>
      <c r="F971" s="1" t="s">
        <v>2026</v>
      </c>
      <c r="G971" s="8" t="s">
        <v>1607</v>
      </c>
      <c r="I971" s="1" t="n">
        <v>0</v>
      </c>
    </row>
    <row r="972" customFormat="false" ht="15" hidden="false" customHeight="false" outlineLevel="0" collapsed="false">
      <c r="A972" s="1" t="s">
        <v>2025</v>
      </c>
      <c r="B972" s="1" t="s">
        <v>1338</v>
      </c>
      <c r="C972" s="1" t="s">
        <v>1685</v>
      </c>
      <c r="D972" s="1" t="s">
        <v>1604</v>
      </c>
      <c r="E972" s="1" t="s">
        <v>2023</v>
      </c>
      <c r="F972" s="1" t="s">
        <v>2026</v>
      </c>
      <c r="G972" s="8" t="s">
        <v>1607</v>
      </c>
      <c r="I972" s="1" t="n">
        <v>0</v>
      </c>
    </row>
    <row r="973" customFormat="false" ht="15" hidden="false" customHeight="false" outlineLevel="0" collapsed="false">
      <c r="A973" s="1" t="s">
        <v>2025</v>
      </c>
      <c r="B973" s="1" t="s">
        <v>1338</v>
      </c>
      <c r="C973" s="1" t="s">
        <v>1686</v>
      </c>
      <c r="D973" s="1" t="s">
        <v>1604</v>
      </c>
      <c r="E973" s="1" t="s">
        <v>2023</v>
      </c>
      <c r="F973" s="1" t="s">
        <v>2026</v>
      </c>
      <c r="G973" s="8" t="s">
        <v>1607</v>
      </c>
      <c r="I973" s="1" t="n">
        <v>0</v>
      </c>
    </row>
    <row r="974" customFormat="false" ht="15" hidden="false" customHeight="false" outlineLevel="0" collapsed="false">
      <c r="A974" s="1" t="s">
        <v>2025</v>
      </c>
      <c r="B974" s="1" t="s">
        <v>1340</v>
      </c>
      <c r="C974" s="1" t="s">
        <v>1341</v>
      </c>
      <c r="D974" s="1" t="s">
        <v>1604</v>
      </c>
      <c r="E974" s="1" t="s">
        <v>2023</v>
      </c>
      <c r="F974" s="1" t="s">
        <v>2026</v>
      </c>
      <c r="G974" s="8" t="s">
        <v>1607</v>
      </c>
      <c r="I974" s="1" t="n">
        <v>1</v>
      </c>
    </row>
    <row r="975" customFormat="false" ht="15" hidden="false" customHeight="false" outlineLevel="0" collapsed="false">
      <c r="A975" s="1" t="s">
        <v>2025</v>
      </c>
      <c r="B975" s="1" t="s">
        <v>1342</v>
      </c>
      <c r="C975" s="1" t="s">
        <v>1343</v>
      </c>
      <c r="D975" s="1" t="s">
        <v>1604</v>
      </c>
      <c r="E975" s="1" t="s">
        <v>2023</v>
      </c>
      <c r="F975" s="1" t="s">
        <v>2026</v>
      </c>
      <c r="G975" s="8" t="s">
        <v>1607</v>
      </c>
      <c r="I975" s="1" t="n">
        <v>0</v>
      </c>
    </row>
    <row r="976" customFormat="false" ht="15" hidden="false" customHeight="false" outlineLevel="0" collapsed="false">
      <c r="A976" s="1" t="s">
        <v>2025</v>
      </c>
      <c r="B976" s="1" t="s">
        <v>1342</v>
      </c>
      <c r="C976" s="1" t="s">
        <v>1687</v>
      </c>
      <c r="D976" s="1" t="s">
        <v>1604</v>
      </c>
      <c r="E976" s="1" t="s">
        <v>2023</v>
      </c>
      <c r="F976" s="1" t="s">
        <v>2026</v>
      </c>
      <c r="G976" s="8" t="s">
        <v>1607</v>
      </c>
      <c r="I976" s="1" t="n">
        <v>0</v>
      </c>
    </row>
    <row r="977" customFormat="false" ht="15" hidden="false" customHeight="false" outlineLevel="0" collapsed="false">
      <c r="A977" s="1" t="s">
        <v>2025</v>
      </c>
      <c r="B977" s="1" t="s">
        <v>1342</v>
      </c>
      <c r="C977" s="1" t="s">
        <v>1688</v>
      </c>
      <c r="D977" s="1" t="s">
        <v>1604</v>
      </c>
      <c r="E977" s="1" t="s">
        <v>2023</v>
      </c>
      <c r="F977" s="1" t="s">
        <v>2026</v>
      </c>
      <c r="G977" s="8" t="s">
        <v>1607</v>
      </c>
      <c r="I977" s="1" t="n">
        <v>0</v>
      </c>
    </row>
    <row r="978" customFormat="false" ht="15" hidden="false" customHeight="false" outlineLevel="0" collapsed="false">
      <c r="A978" s="1" t="s">
        <v>2025</v>
      </c>
      <c r="B978" s="1" t="s">
        <v>1342</v>
      </c>
      <c r="C978" s="1" t="s">
        <v>1689</v>
      </c>
      <c r="D978" s="1" t="s">
        <v>1604</v>
      </c>
      <c r="E978" s="1" t="s">
        <v>2023</v>
      </c>
      <c r="F978" s="1" t="s">
        <v>2026</v>
      </c>
      <c r="G978" s="8" t="s">
        <v>1607</v>
      </c>
      <c r="I978" s="1" t="n">
        <v>0</v>
      </c>
    </row>
    <row r="979" customFormat="false" ht="15" hidden="false" customHeight="false" outlineLevel="0" collapsed="false">
      <c r="A979" s="1" t="s">
        <v>2025</v>
      </c>
      <c r="B979" s="1" t="s">
        <v>1344</v>
      </c>
      <c r="C979" s="1" t="s">
        <v>1345</v>
      </c>
      <c r="D979" s="1" t="s">
        <v>1604</v>
      </c>
      <c r="E979" s="1" t="s">
        <v>2023</v>
      </c>
      <c r="F979" s="1" t="s">
        <v>2026</v>
      </c>
      <c r="G979" s="8" t="s">
        <v>1607</v>
      </c>
      <c r="I979" s="1" t="n">
        <v>0</v>
      </c>
    </row>
    <row r="980" customFormat="false" ht="15" hidden="false" customHeight="false" outlineLevel="0" collapsed="false">
      <c r="A980" s="1" t="s">
        <v>2025</v>
      </c>
      <c r="B980" s="1" t="s">
        <v>1344</v>
      </c>
      <c r="C980" s="1" t="s">
        <v>1690</v>
      </c>
      <c r="D980" s="1" t="s">
        <v>1604</v>
      </c>
      <c r="E980" s="1" t="s">
        <v>2023</v>
      </c>
      <c r="F980" s="1" t="s">
        <v>2026</v>
      </c>
      <c r="G980" s="8" t="s">
        <v>1607</v>
      </c>
      <c r="I980" s="1" t="n">
        <v>0</v>
      </c>
    </row>
    <row r="981" customFormat="false" ht="15" hidden="false" customHeight="false" outlineLevel="0" collapsed="false">
      <c r="A981" s="1" t="s">
        <v>2025</v>
      </c>
      <c r="B981" s="1" t="s">
        <v>1346</v>
      </c>
      <c r="C981" s="1" t="s">
        <v>1347</v>
      </c>
      <c r="D981" s="1" t="s">
        <v>1604</v>
      </c>
      <c r="E981" s="1" t="s">
        <v>2023</v>
      </c>
      <c r="F981" s="1" t="s">
        <v>2026</v>
      </c>
      <c r="G981" s="8" t="s">
        <v>1607</v>
      </c>
      <c r="I981" s="1" t="n">
        <v>0</v>
      </c>
    </row>
    <row r="982" customFormat="false" ht="15" hidden="false" customHeight="false" outlineLevel="0" collapsed="false">
      <c r="A982" s="1" t="s">
        <v>2025</v>
      </c>
      <c r="B982" s="1" t="s">
        <v>1348</v>
      </c>
      <c r="C982" s="1" t="s">
        <v>1349</v>
      </c>
      <c r="D982" s="1" t="s">
        <v>1604</v>
      </c>
      <c r="E982" s="1" t="s">
        <v>2023</v>
      </c>
      <c r="F982" s="1" t="s">
        <v>2026</v>
      </c>
      <c r="G982" s="8" t="s">
        <v>1607</v>
      </c>
      <c r="I982" s="1" t="n">
        <v>0</v>
      </c>
    </row>
    <row r="983" customFormat="false" ht="15" hidden="false" customHeight="false" outlineLevel="0" collapsed="false">
      <c r="A983" s="1" t="s">
        <v>2025</v>
      </c>
      <c r="B983" s="1" t="s">
        <v>1350</v>
      </c>
      <c r="C983" s="1" t="s">
        <v>1351</v>
      </c>
      <c r="D983" s="1" t="s">
        <v>1604</v>
      </c>
      <c r="E983" s="1" t="s">
        <v>2023</v>
      </c>
      <c r="F983" s="1" t="s">
        <v>2026</v>
      </c>
      <c r="G983" s="8" t="s">
        <v>1607</v>
      </c>
      <c r="I983" s="1" t="n">
        <v>0</v>
      </c>
    </row>
    <row r="984" customFormat="false" ht="15" hidden="false" customHeight="false" outlineLevel="0" collapsed="false">
      <c r="A984" s="1" t="s">
        <v>2025</v>
      </c>
      <c r="B984" s="1" t="s">
        <v>1352</v>
      </c>
      <c r="C984" s="1" t="s">
        <v>1353</v>
      </c>
      <c r="D984" s="1" t="s">
        <v>1604</v>
      </c>
      <c r="E984" s="1" t="s">
        <v>2023</v>
      </c>
      <c r="F984" s="1" t="s">
        <v>2026</v>
      </c>
      <c r="G984" s="8" t="s">
        <v>1607</v>
      </c>
      <c r="I984" s="1" t="n">
        <v>0</v>
      </c>
    </row>
    <row r="985" customFormat="false" ht="15" hidden="false" customHeight="false" outlineLevel="0" collapsed="false">
      <c r="A985" s="1" t="s">
        <v>2025</v>
      </c>
      <c r="B985" s="1" t="s">
        <v>1139</v>
      </c>
      <c r="C985" s="1" t="s">
        <v>1140</v>
      </c>
      <c r="D985" s="1" t="s">
        <v>1604</v>
      </c>
      <c r="E985" s="1" t="s">
        <v>2023</v>
      </c>
      <c r="F985" s="1" t="s">
        <v>2026</v>
      </c>
      <c r="G985" s="8" t="s">
        <v>1607</v>
      </c>
      <c r="I985" s="1" t="n">
        <v>4</v>
      </c>
    </row>
    <row r="986" customFormat="false" ht="15" hidden="false" customHeight="false" outlineLevel="0" collapsed="false">
      <c r="A986" s="1" t="s">
        <v>2025</v>
      </c>
      <c r="B986" s="1" t="s">
        <v>1139</v>
      </c>
      <c r="C986" s="1" t="s">
        <v>1691</v>
      </c>
      <c r="D986" s="1" t="s">
        <v>1604</v>
      </c>
      <c r="E986" s="1" t="s">
        <v>2023</v>
      </c>
      <c r="F986" s="1" t="s">
        <v>2026</v>
      </c>
      <c r="G986" s="8" t="s">
        <v>1607</v>
      </c>
      <c r="I986" s="1" t="n">
        <v>1</v>
      </c>
    </row>
    <row r="987" customFormat="false" ht="15" hidden="false" customHeight="false" outlineLevel="0" collapsed="false">
      <c r="A987" s="1" t="s">
        <v>2025</v>
      </c>
      <c r="B987" s="1" t="s">
        <v>1139</v>
      </c>
      <c r="C987" s="1" t="s">
        <v>1692</v>
      </c>
      <c r="D987" s="1" t="s">
        <v>1604</v>
      </c>
      <c r="E987" s="1" t="s">
        <v>2023</v>
      </c>
      <c r="F987" s="1" t="s">
        <v>2026</v>
      </c>
      <c r="G987" s="8" t="s">
        <v>1607</v>
      </c>
      <c r="I987" s="1" t="n">
        <v>0</v>
      </c>
    </row>
    <row r="988" customFormat="false" ht="15" hidden="false" customHeight="false" outlineLevel="0" collapsed="false">
      <c r="A988" s="1" t="s">
        <v>2025</v>
      </c>
      <c r="B988" s="1" t="s">
        <v>1139</v>
      </c>
      <c r="C988" s="1" t="s">
        <v>1693</v>
      </c>
      <c r="D988" s="1" t="s">
        <v>1604</v>
      </c>
      <c r="E988" s="1" t="s">
        <v>2023</v>
      </c>
      <c r="F988" s="1" t="s">
        <v>2026</v>
      </c>
      <c r="G988" s="8" t="s">
        <v>1607</v>
      </c>
      <c r="I988" s="1" t="n">
        <v>0</v>
      </c>
    </row>
    <row r="989" customFormat="false" ht="15" hidden="false" customHeight="false" outlineLevel="0" collapsed="false">
      <c r="A989" s="1" t="s">
        <v>2025</v>
      </c>
      <c r="B989" s="1" t="s">
        <v>1139</v>
      </c>
      <c r="C989" s="1" t="s">
        <v>1694</v>
      </c>
      <c r="D989" s="1" t="s">
        <v>1604</v>
      </c>
      <c r="E989" s="1" t="s">
        <v>2023</v>
      </c>
      <c r="F989" s="1" t="s">
        <v>2026</v>
      </c>
      <c r="G989" s="8" t="s">
        <v>1607</v>
      </c>
      <c r="I989" s="1" t="n">
        <v>0</v>
      </c>
    </row>
    <row r="990" customFormat="false" ht="15" hidden="false" customHeight="false" outlineLevel="0" collapsed="false">
      <c r="A990" s="1" t="s">
        <v>2025</v>
      </c>
      <c r="B990" s="1" t="s">
        <v>1139</v>
      </c>
      <c r="C990" s="1" t="s">
        <v>1695</v>
      </c>
      <c r="D990" s="1" t="s">
        <v>1604</v>
      </c>
      <c r="E990" s="1" t="s">
        <v>2023</v>
      </c>
      <c r="F990" s="1" t="s">
        <v>2026</v>
      </c>
      <c r="G990" s="8" t="s">
        <v>1607</v>
      </c>
      <c r="I990" s="1" t="n">
        <v>0</v>
      </c>
    </row>
    <row r="991" customFormat="false" ht="15" hidden="false" customHeight="false" outlineLevel="0" collapsed="false">
      <c r="A991" s="1" t="s">
        <v>2025</v>
      </c>
      <c r="B991" s="1" t="s">
        <v>1139</v>
      </c>
      <c r="C991" s="1" t="s">
        <v>1696</v>
      </c>
      <c r="D991" s="1" t="s">
        <v>1604</v>
      </c>
      <c r="E991" s="1" t="s">
        <v>2023</v>
      </c>
      <c r="F991" s="1" t="s">
        <v>2026</v>
      </c>
      <c r="G991" s="8" t="s">
        <v>1607</v>
      </c>
      <c r="I991" s="1" t="n">
        <v>0</v>
      </c>
    </row>
    <row r="992" customFormat="false" ht="15" hidden="false" customHeight="false" outlineLevel="0" collapsed="false">
      <c r="A992" s="1" t="s">
        <v>2025</v>
      </c>
      <c r="B992" s="1" t="s">
        <v>1139</v>
      </c>
      <c r="C992" s="1" t="s">
        <v>1697</v>
      </c>
      <c r="D992" s="1" t="s">
        <v>1604</v>
      </c>
      <c r="E992" s="1" t="s">
        <v>2023</v>
      </c>
      <c r="F992" s="1" t="s">
        <v>2026</v>
      </c>
      <c r="G992" s="8" t="s">
        <v>1607</v>
      </c>
      <c r="I992" s="1" t="n">
        <v>0</v>
      </c>
    </row>
    <row r="993" customFormat="false" ht="15" hidden="false" customHeight="false" outlineLevel="0" collapsed="false">
      <c r="A993" s="1" t="s">
        <v>2025</v>
      </c>
      <c r="B993" s="1" t="s">
        <v>1139</v>
      </c>
      <c r="C993" s="1" t="s">
        <v>1698</v>
      </c>
      <c r="D993" s="1" t="s">
        <v>1604</v>
      </c>
      <c r="E993" s="1" t="s">
        <v>2023</v>
      </c>
      <c r="F993" s="1" t="s">
        <v>2026</v>
      </c>
      <c r="G993" s="8" t="s">
        <v>1607</v>
      </c>
      <c r="I993" s="1" t="n">
        <v>0</v>
      </c>
    </row>
    <row r="994" customFormat="false" ht="15" hidden="false" customHeight="false" outlineLevel="0" collapsed="false">
      <c r="A994" s="1" t="s">
        <v>2025</v>
      </c>
      <c r="B994" s="1" t="s">
        <v>1139</v>
      </c>
      <c r="C994" s="1" t="s">
        <v>1699</v>
      </c>
      <c r="D994" s="1" t="s">
        <v>1604</v>
      </c>
      <c r="E994" s="1" t="s">
        <v>2023</v>
      </c>
      <c r="F994" s="1" t="s">
        <v>2026</v>
      </c>
      <c r="G994" s="8" t="s">
        <v>1607</v>
      </c>
      <c r="I994" s="1" t="n">
        <v>0</v>
      </c>
    </row>
    <row r="995" customFormat="false" ht="15" hidden="false" customHeight="false" outlineLevel="0" collapsed="false">
      <c r="A995" s="1" t="s">
        <v>2025</v>
      </c>
      <c r="B995" s="1" t="s">
        <v>1139</v>
      </c>
      <c r="C995" s="1" t="s">
        <v>1700</v>
      </c>
      <c r="D995" s="1" t="s">
        <v>1604</v>
      </c>
      <c r="E995" s="1" t="s">
        <v>2023</v>
      </c>
      <c r="F995" s="1" t="s">
        <v>2026</v>
      </c>
      <c r="G995" s="8" t="s">
        <v>1607</v>
      </c>
      <c r="I995" s="1" t="n">
        <v>0</v>
      </c>
    </row>
    <row r="996" customFormat="false" ht="15" hidden="false" customHeight="false" outlineLevel="0" collapsed="false">
      <c r="A996" s="1" t="s">
        <v>2025</v>
      </c>
      <c r="B996" s="1" t="s">
        <v>1139</v>
      </c>
      <c r="C996" s="1" t="s">
        <v>1701</v>
      </c>
      <c r="D996" s="1" t="s">
        <v>1604</v>
      </c>
      <c r="E996" s="1" t="s">
        <v>2023</v>
      </c>
      <c r="F996" s="1" t="s">
        <v>2026</v>
      </c>
      <c r="G996" s="8" t="s">
        <v>1607</v>
      </c>
      <c r="I996" s="1" t="n">
        <v>0</v>
      </c>
    </row>
    <row r="997" customFormat="false" ht="15" hidden="false" customHeight="false" outlineLevel="0" collapsed="false">
      <c r="A997" s="1" t="s">
        <v>2025</v>
      </c>
      <c r="B997" s="1" t="s">
        <v>1143</v>
      </c>
      <c r="C997" s="1" t="s">
        <v>1144</v>
      </c>
      <c r="D997" s="1" t="s">
        <v>1604</v>
      </c>
      <c r="E997" s="1" t="s">
        <v>2023</v>
      </c>
      <c r="F997" s="1" t="s">
        <v>2026</v>
      </c>
      <c r="G997" s="8" t="s">
        <v>1607</v>
      </c>
      <c r="I997" s="1" t="n">
        <v>1</v>
      </c>
    </row>
    <row r="998" customFormat="false" ht="15" hidden="false" customHeight="false" outlineLevel="0" collapsed="false">
      <c r="A998" s="1" t="s">
        <v>2025</v>
      </c>
      <c r="B998" s="1" t="s">
        <v>1145</v>
      </c>
      <c r="C998" s="1" t="s">
        <v>1146</v>
      </c>
      <c r="D998" s="1" t="s">
        <v>1604</v>
      </c>
      <c r="E998" s="1" t="s">
        <v>2023</v>
      </c>
      <c r="F998" s="1" t="s">
        <v>2026</v>
      </c>
      <c r="G998" s="8" t="s">
        <v>1607</v>
      </c>
      <c r="I998" s="1" t="n">
        <v>1</v>
      </c>
    </row>
    <row r="999" customFormat="false" ht="15" hidden="false" customHeight="false" outlineLevel="0" collapsed="false">
      <c r="A999" s="1" t="s">
        <v>2025</v>
      </c>
      <c r="B999" s="1" t="s">
        <v>1147</v>
      </c>
      <c r="C999" s="1" t="s">
        <v>1148</v>
      </c>
      <c r="D999" s="1" t="s">
        <v>1604</v>
      </c>
      <c r="E999" s="1" t="s">
        <v>2023</v>
      </c>
      <c r="F999" s="1" t="s">
        <v>2026</v>
      </c>
      <c r="G999" s="8" t="s">
        <v>1607</v>
      </c>
      <c r="I999" s="1" t="n">
        <v>1</v>
      </c>
    </row>
    <row r="1000" customFormat="false" ht="15" hidden="false" customHeight="false" outlineLevel="0" collapsed="false">
      <c r="A1000" s="1" t="s">
        <v>2025</v>
      </c>
      <c r="B1000" s="1" t="s">
        <v>1149</v>
      </c>
      <c r="C1000" s="1" t="s">
        <v>1150</v>
      </c>
      <c r="D1000" s="1" t="s">
        <v>1604</v>
      </c>
      <c r="E1000" s="1" t="s">
        <v>2023</v>
      </c>
      <c r="F1000" s="1" t="s">
        <v>2026</v>
      </c>
      <c r="G1000" s="8" t="s">
        <v>1607</v>
      </c>
      <c r="I1000" s="1" t="n">
        <v>1</v>
      </c>
    </row>
    <row r="1001" customFormat="false" ht="15" hidden="false" customHeight="false" outlineLevel="0" collapsed="false">
      <c r="A1001" s="1" t="s">
        <v>2025</v>
      </c>
      <c r="B1001" s="1" t="s">
        <v>1151</v>
      </c>
      <c r="C1001" s="1" t="s">
        <v>1152</v>
      </c>
      <c r="D1001" s="1" t="s">
        <v>1604</v>
      </c>
      <c r="E1001" s="1" t="s">
        <v>2023</v>
      </c>
      <c r="F1001" s="1" t="s">
        <v>2026</v>
      </c>
      <c r="G1001" s="8" t="s">
        <v>1607</v>
      </c>
      <c r="I1001" s="1" t="n">
        <v>0</v>
      </c>
    </row>
    <row r="1002" customFormat="false" ht="15" hidden="false" customHeight="false" outlineLevel="0" collapsed="false">
      <c r="A1002" s="1" t="s">
        <v>2025</v>
      </c>
      <c r="B1002" s="1" t="s">
        <v>1153</v>
      </c>
      <c r="C1002" s="1" t="s">
        <v>1154</v>
      </c>
      <c r="D1002" s="1" t="s">
        <v>1604</v>
      </c>
      <c r="E1002" s="1" t="s">
        <v>2023</v>
      </c>
      <c r="F1002" s="1" t="s">
        <v>2026</v>
      </c>
      <c r="G1002" s="8" t="s">
        <v>1607</v>
      </c>
      <c r="I1002" s="1" t="n">
        <v>0</v>
      </c>
    </row>
    <row r="1003" customFormat="false" ht="15" hidden="false" customHeight="false" outlineLevel="0" collapsed="false">
      <c r="A1003" s="1" t="s">
        <v>2025</v>
      </c>
      <c r="B1003" s="1" t="s">
        <v>1153</v>
      </c>
      <c r="C1003" s="1" t="s">
        <v>1702</v>
      </c>
      <c r="D1003" s="1" t="s">
        <v>1604</v>
      </c>
      <c r="E1003" s="1" t="s">
        <v>2023</v>
      </c>
      <c r="F1003" s="1" t="s">
        <v>2026</v>
      </c>
      <c r="G1003" s="8" t="s">
        <v>1607</v>
      </c>
      <c r="I1003" s="1" t="n">
        <v>0</v>
      </c>
    </row>
    <row r="1004" customFormat="false" ht="15" hidden="false" customHeight="false" outlineLevel="0" collapsed="false">
      <c r="A1004" s="1" t="s">
        <v>2025</v>
      </c>
      <c r="B1004" s="1" t="s">
        <v>1153</v>
      </c>
      <c r="C1004" s="1" t="s">
        <v>1703</v>
      </c>
      <c r="D1004" s="1" t="s">
        <v>1604</v>
      </c>
      <c r="E1004" s="1" t="s">
        <v>2023</v>
      </c>
      <c r="F1004" s="1" t="s">
        <v>2026</v>
      </c>
      <c r="G1004" s="8" t="s">
        <v>1607</v>
      </c>
      <c r="I1004" s="1" t="n">
        <v>0</v>
      </c>
    </row>
    <row r="1005" customFormat="false" ht="15" hidden="false" customHeight="false" outlineLevel="0" collapsed="false">
      <c r="A1005" s="1" t="s">
        <v>2025</v>
      </c>
      <c r="B1005" s="1" t="s">
        <v>1153</v>
      </c>
      <c r="C1005" s="1" t="s">
        <v>1704</v>
      </c>
      <c r="D1005" s="1" t="s">
        <v>1604</v>
      </c>
      <c r="E1005" s="1" t="s">
        <v>2023</v>
      </c>
      <c r="F1005" s="1" t="s">
        <v>2026</v>
      </c>
      <c r="G1005" s="8" t="s">
        <v>1607</v>
      </c>
      <c r="I1005" s="1" t="n">
        <v>0</v>
      </c>
    </row>
    <row r="1006" customFormat="false" ht="15" hidden="false" customHeight="false" outlineLevel="0" collapsed="false">
      <c r="A1006" s="1" t="s">
        <v>2025</v>
      </c>
      <c r="B1006" s="1" t="s">
        <v>1153</v>
      </c>
      <c r="C1006" s="1" t="s">
        <v>1705</v>
      </c>
      <c r="D1006" s="1" t="s">
        <v>1604</v>
      </c>
      <c r="E1006" s="1" t="s">
        <v>2023</v>
      </c>
      <c r="F1006" s="1" t="s">
        <v>2026</v>
      </c>
      <c r="G1006" s="8" t="s">
        <v>1607</v>
      </c>
      <c r="I1006" s="1" t="n">
        <v>0</v>
      </c>
    </row>
    <row r="1007" customFormat="false" ht="15" hidden="false" customHeight="false" outlineLevel="0" collapsed="false">
      <c r="A1007" s="1" t="s">
        <v>2025</v>
      </c>
      <c r="B1007" s="1" t="s">
        <v>1153</v>
      </c>
      <c r="C1007" s="1" t="s">
        <v>1706</v>
      </c>
      <c r="D1007" s="1" t="s">
        <v>1604</v>
      </c>
      <c r="E1007" s="1" t="s">
        <v>2023</v>
      </c>
      <c r="F1007" s="1" t="s">
        <v>2026</v>
      </c>
      <c r="G1007" s="8" t="s">
        <v>1607</v>
      </c>
      <c r="I1007" s="1" t="n">
        <v>0</v>
      </c>
    </row>
    <row r="1008" customFormat="false" ht="15" hidden="false" customHeight="false" outlineLevel="0" collapsed="false">
      <c r="A1008" s="1" t="s">
        <v>2025</v>
      </c>
      <c r="B1008" s="1" t="s">
        <v>1153</v>
      </c>
      <c r="C1008" s="1" t="s">
        <v>1707</v>
      </c>
      <c r="D1008" s="1" t="s">
        <v>1604</v>
      </c>
      <c r="E1008" s="1" t="s">
        <v>2023</v>
      </c>
      <c r="F1008" s="1" t="s">
        <v>2026</v>
      </c>
      <c r="G1008" s="8" t="s">
        <v>1607</v>
      </c>
      <c r="I1008" s="1" t="n">
        <v>0</v>
      </c>
    </row>
    <row r="1009" customFormat="false" ht="15" hidden="false" customHeight="false" outlineLevel="0" collapsed="false">
      <c r="A1009" s="1" t="s">
        <v>2025</v>
      </c>
      <c r="B1009" s="1" t="s">
        <v>1153</v>
      </c>
      <c r="C1009" s="1" t="s">
        <v>1708</v>
      </c>
      <c r="D1009" s="1" t="s">
        <v>1604</v>
      </c>
      <c r="E1009" s="1" t="s">
        <v>2023</v>
      </c>
      <c r="F1009" s="1" t="s">
        <v>2026</v>
      </c>
      <c r="G1009" s="8" t="s">
        <v>1607</v>
      </c>
      <c r="I1009" s="1" t="n">
        <v>0</v>
      </c>
    </row>
    <row r="1010" customFormat="false" ht="15" hidden="false" customHeight="false" outlineLevel="0" collapsed="false">
      <c r="A1010" s="1" t="s">
        <v>2025</v>
      </c>
      <c r="B1010" s="1" t="s">
        <v>1155</v>
      </c>
      <c r="C1010" s="1" t="s">
        <v>1156</v>
      </c>
      <c r="D1010" s="1" t="s">
        <v>1604</v>
      </c>
      <c r="E1010" s="1" t="s">
        <v>2023</v>
      </c>
      <c r="F1010" s="1" t="s">
        <v>2026</v>
      </c>
      <c r="G1010" s="8" t="s">
        <v>1607</v>
      </c>
      <c r="I1010" s="1" t="n">
        <v>0</v>
      </c>
    </row>
    <row r="1011" customFormat="false" ht="15" hidden="false" customHeight="false" outlineLevel="0" collapsed="false">
      <c r="A1011" s="1" t="s">
        <v>2025</v>
      </c>
      <c r="B1011" s="1" t="s">
        <v>1155</v>
      </c>
      <c r="C1011" s="1" t="s">
        <v>1709</v>
      </c>
      <c r="D1011" s="1" t="s">
        <v>1604</v>
      </c>
      <c r="E1011" s="1" t="s">
        <v>2023</v>
      </c>
      <c r="F1011" s="1" t="s">
        <v>2026</v>
      </c>
      <c r="G1011" s="8" t="s">
        <v>1607</v>
      </c>
      <c r="I1011" s="1" t="n">
        <v>0</v>
      </c>
    </row>
    <row r="1012" customFormat="false" ht="15" hidden="false" customHeight="false" outlineLevel="0" collapsed="false">
      <c r="A1012" s="1" t="s">
        <v>2025</v>
      </c>
      <c r="B1012" s="1" t="s">
        <v>1155</v>
      </c>
      <c r="C1012" s="1" t="s">
        <v>1710</v>
      </c>
      <c r="D1012" s="1" t="s">
        <v>1604</v>
      </c>
      <c r="E1012" s="1" t="s">
        <v>2023</v>
      </c>
      <c r="F1012" s="1" t="s">
        <v>2026</v>
      </c>
      <c r="G1012" s="8" t="s">
        <v>1607</v>
      </c>
      <c r="I1012" s="1" t="n">
        <v>0</v>
      </c>
    </row>
    <row r="1013" customFormat="false" ht="15" hidden="false" customHeight="false" outlineLevel="0" collapsed="false">
      <c r="A1013" s="1" t="s">
        <v>2025</v>
      </c>
      <c r="B1013" s="1" t="s">
        <v>1155</v>
      </c>
      <c r="C1013" s="1" t="s">
        <v>1711</v>
      </c>
      <c r="D1013" s="1" t="s">
        <v>1604</v>
      </c>
      <c r="E1013" s="1" t="s">
        <v>2023</v>
      </c>
      <c r="F1013" s="1" t="s">
        <v>2026</v>
      </c>
      <c r="G1013" s="8" t="s">
        <v>1607</v>
      </c>
      <c r="I1013" s="1" t="n">
        <v>0</v>
      </c>
    </row>
    <row r="1014" customFormat="false" ht="15" hidden="false" customHeight="false" outlineLevel="0" collapsed="false">
      <c r="A1014" s="1" t="s">
        <v>2025</v>
      </c>
      <c r="B1014" s="1" t="s">
        <v>1155</v>
      </c>
      <c r="C1014" s="1" t="s">
        <v>1712</v>
      </c>
      <c r="D1014" s="1" t="s">
        <v>1604</v>
      </c>
      <c r="E1014" s="1" t="s">
        <v>2023</v>
      </c>
      <c r="F1014" s="1" t="s">
        <v>2026</v>
      </c>
      <c r="G1014" s="8" t="s">
        <v>1607</v>
      </c>
      <c r="I1014" s="1" t="n">
        <v>0</v>
      </c>
    </row>
    <row r="1015" customFormat="false" ht="15" hidden="false" customHeight="false" outlineLevel="0" collapsed="false">
      <c r="A1015" s="1" t="s">
        <v>2025</v>
      </c>
      <c r="B1015" s="1" t="s">
        <v>1157</v>
      </c>
      <c r="C1015" s="1" t="s">
        <v>1158</v>
      </c>
      <c r="D1015" s="1" t="s">
        <v>1604</v>
      </c>
      <c r="E1015" s="1" t="s">
        <v>2023</v>
      </c>
      <c r="F1015" s="1" t="s">
        <v>2026</v>
      </c>
      <c r="G1015" s="8" t="s">
        <v>1607</v>
      </c>
      <c r="I1015" s="1" t="n">
        <v>0</v>
      </c>
    </row>
    <row r="1016" customFormat="false" ht="15" hidden="false" customHeight="false" outlineLevel="0" collapsed="false">
      <c r="A1016" s="1" t="s">
        <v>2025</v>
      </c>
      <c r="B1016" s="1" t="s">
        <v>1159</v>
      </c>
      <c r="C1016" s="1" t="s">
        <v>1160</v>
      </c>
      <c r="D1016" s="1" t="s">
        <v>1604</v>
      </c>
      <c r="E1016" s="1" t="s">
        <v>2023</v>
      </c>
      <c r="F1016" s="1" t="s">
        <v>2026</v>
      </c>
      <c r="G1016" s="8" t="s">
        <v>1607</v>
      </c>
      <c r="I1016" s="1" t="n">
        <v>0</v>
      </c>
    </row>
    <row r="1017" customFormat="false" ht="15" hidden="false" customHeight="false" outlineLevel="0" collapsed="false">
      <c r="A1017" s="1" t="s">
        <v>2025</v>
      </c>
      <c r="B1017" s="1" t="s">
        <v>924</v>
      </c>
      <c r="C1017" s="1" t="s">
        <v>925</v>
      </c>
      <c r="D1017" s="1" t="s">
        <v>1604</v>
      </c>
      <c r="E1017" s="1" t="s">
        <v>2023</v>
      </c>
      <c r="F1017" s="1" t="s">
        <v>2026</v>
      </c>
      <c r="G1017" s="8" t="s">
        <v>1607</v>
      </c>
      <c r="I1017" s="1" t="n">
        <v>6</v>
      </c>
    </row>
    <row r="1018" customFormat="false" ht="15" hidden="false" customHeight="false" outlineLevel="0" collapsed="false">
      <c r="A1018" s="1" t="s">
        <v>2025</v>
      </c>
      <c r="B1018" s="1" t="s">
        <v>928</v>
      </c>
      <c r="C1018" s="1" t="s">
        <v>929</v>
      </c>
      <c r="D1018" s="1" t="s">
        <v>1604</v>
      </c>
      <c r="E1018" s="1" t="s">
        <v>2023</v>
      </c>
      <c r="F1018" s="1" t="s">
        <v>2026</v>
      </c>
      <c r="G1018" s="8" t="s">
        <v>1607</v>
      </c>
      <c r="I1018" s="1" t="n">
        <v>2</v>
      </c>
    </row>
    <row r="1019" customFormat="false" ht="15" hidden="false" customHeight="false" outlineLevel="0" collapsed="false">
      <c r="A1019" s="1" t="s">
        <v>2025</v>
      </c>
      <c r="B1019" s="1" t="s">
        <v>930</v>
      </c>
      <c r="C1019" s="1" t="s">
        <v>931</v>
      </c>
      <c r="D1019" s="1" t="s">
        <v>1604</v>
      </c>
      <c r="E1019" s="1" t="s">
        <v>2023</v>
      </c>
      <c r="F1019" s="1" t="s">
        <v>2026</v>
      </c>
      <c r="G1019" s="8" t="s">
        <v>1607</v>
      </c>
      <c r="I1019" s="1" t="n">
        <v>1</v>
      </c>
    </row>
    <row r="1020" customFormat="false" ht="15" hidden="false" customHeight="false" outlineLevel="0" collapsed="false">
      <c r="A1020" s="1" t="s">
        <v>2025</v>
      </c>
      <c r="B1020" s="1" t="s">
        <v>932</v>
      </c>
      <c r="C1020" s="1" t="s">
        <v>933</v>
      </c>
      <c r="D1020" s="1" t="s">
        <v>1604</v>
      </c>
      <c r="E1020" s="1" t="s">
        <v>2023</v>
      </c>
      <c r="F1020" s="1" t="s">
        <v>2026</v>
      </c>
      <c r="G1020" s="8" t="s">
        <v>1607</v>
      </c>
      <c r="I1020" s="1" t="n">
        <v>0</v>
      </c>
    </row>
    <row r="1021" customFormat="false" ht="15" hidden="false" customHeight="false" outlineLevel="0" collapsed="false">
      <c r="A1021" s="1" t="s">
        <v>2025</v>
      </c>
      <c r="B1021" s="1" t="s">
        <v>934</v>
      </c>
      <c r="C1021" s="1" t="s">
        <v>935</v>
      </c>
      <c r="D1021" s="1" t="s">
        <v>1604</v>
      </c>
      <c r="E1021" s="1" t="s">
        <v>2023</v>
      </c>
      <c r="F1021" s="1" t="s">
        <v>2026</v>
      </c>
      <c r="G1021" s="8" t="s">
        <v>1607</v>
      </c>
      <c r="I1021" s="1" t="n">
        <v>0</v>
      </c>
    </row>
    <row r="1022" customFormat="false" ht="15" hidden="false" customHeight="false" outlineLevel="0" collapsed="false">
      <c r="A1022" s="1" t="s">
        <v>2025</v>
      </c>
      <c r="B1022" s="1" t="s">
        <v>936</v>
      </c>
      <c r="C1022" s="1" t="s">
        <v>937</v>
      </c>
      <c r="D1022" s="1" t="s">
        <v>1604</v>
      </c>
      <c r="E1022" s="1" t="s">
        <v>2023</v>
      </c>
      <c r="F1022" s="1" t="s">
        <v>2026</v>
      </c>
      <c r="G1022" s="8" t="s">
        <v>1607</v>
      </c>
      <c r="I1022" s="1" t="n">
        <v>0</v>
      </c>
    </row>
    <row r="1023" customFormat="false" ht="15" hidden="false" customHeight="false" outlineLevel="0" collapsed="false">
      <c r="A1023" s="1" t="s">
        <v>2025</v>
      </c>
      <c r="B1023" s="1" t="s">
        <v>938</v>
      </c>
      <c r="C1023" s="1" t="s">
        <v>939</v>
      </c>
      <c r="D1023" s="1" t="s">
        <v>1604</v>
      </c>
      <c r="E1023" s="1" t="s">
        <v>2023</v>
      </c>
      <c r="F1023" s="1" t="s">
        <v>2026</v>
      </c>
      <c r="G1023" s="8" t="s">
        <v>1607</v>
      </c>
      <c r="I1023" s="1" t="n">
        <v>0</v>
      </c>
    </row>
    <row r="1024" customFormat="false" ht="15" hidden="false" customHeight="false" outlineLevel="0" collapsed="false">
      <c r="A1024" s="1" t="s">
        <v>2025</v>
      </c>
      <c r="B1024" s="1" t="s">
        <v>940</v>
      </c>
      <c r="C1024" s="1" t="s">
        <v>941</v>
      </c>
      <c r="D1024" s="1" t="s">
        <v>1604</v>
      </c>
      <c r="E1024" s="1" t="s">
        <v>2023</v>
      </c>
      <c r="F1024" s="1" t="s">
        <v>2026</v>
      </c>
      <c r="G1024" s="8" t="s">
        <v>1607</v>
      </c>
      <c r="I1024" s="1" t="n">
        <v>0</v>
      </c>
    </row>
    <row r="1025" customFormat="false" ht="15" hidden="false" customHeight="false" outlineLevel="0" collapsed="false">
      <c r="A1025" s="1" t="s">
        <v>2025</v>
      </c>
      <c r="B1025" s="1" t="s">
        <v>942</v>
      </c>
      <c r="C1025" s="1" t="s">
        <v>943</v>
      </c>
      <c r="D1025" s="1" t="s">
        <v>1604</v>
      </c>
      <c r="E1025" s="1" t="s">
        <v>2023</v>
      </c>
      <c r="F1025" s="1" t="s">
        <v>2026</v>
      </c>
      <c r="G1025" s="8" t="s">
        <v>1607</v>
      </c>
      <c r="I1025" s="1" t="n">
        <v>0</v>
      </c>
    </row>
    <row r="1026" customFormat="false" ht="15" hidden="false" customHeight="false" outlineLevel="0" collapsed="false">
      <c r="A1026" s="1" t="s">
        <v>2025</v>
      </c>
      <c r="B1026" s="1" t="s">
        <v>944</v>
      </c>
      <c r="C1026" s="1" t="s">
        <v>945</v>
      </c>
      <c r="D1026" s="1" t="s">
        <v>1604</v>
      </c>
      <c r="E1026" s="1" t="s">
        <v>2023</v>
      </c>
      <c r="F1026" s="1" t="s">
        <v>2026</v>
      </c>
      <c r="G1026" s="8" t="s">
        <v>1607</v>
      </c>
      <c r="I1026" s="1" t="n">
        <v>1</v>
      </c>
    </row>
    <row r="1027" customFormat="false" ht="15" hidden="false" customHeight="false" outlineLevel="0" collapsed="false">
      <c r="A1027" s="1" t="s">
        <v>2025</v>
      </c>
      <c r="B1027" s="1" t="s">
        <v>946</v>
      </c>
      <c r="C1027" s="1" t="s">
        <v>947</v>
      </c>
      <c r="D1027" s="1" t="s">
        <v>1604</v>
      </c>
      <c r="E1027" s="1" t="s">
        <v>2023</v>
      </c>
      <c r="F1027" s="1" t="s">
        <v>2026</v>
      </c>
      <c r="G1027" s="8" t="s">
        <v>1607</v>
      </c>
      <c r="I1027" s="1" t="n">
        <v>0</v>
      </c>
    </row>
    <row r="1028" customFormat="false" ht="15" hidden="false" customHeight="false" outlineLevel="0" collapsed="false">
      <c r="A1028" s="1" t="s">
        <v>2025</v>
      </c>
      <c r="B1028" s="1" t="s">
        <v>948</v>
      </c>
      <c r="C1028" s="1" t="s">
        <v>949</v>
      </c>
      <c r="D1028" s="1" t="s">
        <v>1604</v>
      </c>
      <c r="E1028" s="1" t="s">
        <v>2023</v>
      </c>
      <c r="F1028" s="1" t="s">
        <v>2026</v>
      </c>
      <c r="G1028" s="8" t="s">
        <v>1607</v>
      </c>
      <c r="I1028" s="1" t="n">
        <v>2</v>
      </c>
    </row>
    <row r="1029" customFormat="false" ht="15" hidden="false" customHeight="false" outlineLevel="0" collapsed="false">
      <c r="A1029" s="1" t="s">
        <v>2025</v>
      </c>
      <c r="B1029" s="1" t="s">
        <v>950</v>
      </c>
      <c r="C1029" s="1" t="s">
        <v>951</v>
      </c>
      <c r="D1029" s="1" t="s">
        <v>1604</v>
      </c>
      <c r="E1029" s="1" t="s">
        <v>2023</v>
      </c>
      <c r="F1029" s="1" t="s">
        <v>2026</v>
      </c>
      <c r="G1029" s="8" t="s">
        <v>1607</v>
      </c>
      <c r="I1029" s="1" t="n">
        <v>1</v>
      </c>
    </row>
    <row r="1030" customFormat="false" ht="15" hidden="false" customHeight="false" outlineLevel="0" collapsed="false">
      <c r="A1030" s="1" t="s">
        <v>2025</v>
      </c>
      <c r="B1030" s="1" t="s">
        <v>950</v>
      </c>
      <c r="C1030" s="1" t="s">
        <v>1713</v>
      </c>
      <c r="D1030" s="1" t="s">
        <v>1604</v>
      </c>
      <c r="E1030" s="1" t="s">
        <v>2023</v>
      </c>
      <c r="F1030" s="1" t="s">
        <v>2026</v>
      </c>
      <c r="G1030" s="8" t="s">
        <v>1607</v>
      </c>
      <c r="I1030" s="1" t="n">
        <v>0</v>
      </c>
    </row>
    <row r="1031" customFormat="false" ht="15" hidden="false" customHeight="false" outlineLevel="0" collapsed="false">
      <c r="A1031" s="1" t="s">
        <v>2025</v>
      </c>
      <c r="B1031" s="1" t="s">
        <v>950</v>
      </c>
      <c r="C1031" s="1" t="s">
        <v>1714</v>
      </c>
      <c r="D1031" s="1" t="s">
        <v>1604</v>
      </c>
      <c r="E1031" s="1" t="s">
        <v>2023</v>
      </c>
      <c r="F1031" s="1" t="s">
        <v>2026</v>
      </c>
      <c r="G1031" s="8" t="s">
        <v>1607</v>
      </c>
      <c r="I1031" s="1" t="n">
        <v>0</v>
      </c>
    </row>
    <row r="1032" customFormat="false" ht="15" hidden="false" customHeight="false" outlineLevel="0" collapsed="false">
      <c r="A1032" s="1" t="s">
        <v>2025</v>
      </c>
      <c r="B1032" s="1" t="s">
        <v>950</v>
      </c>
      <c r="C1032" s="1" t="s">
        <v>1715</v>
      </c>
      <c r="D1032" s="1" t="s">
        <v>1604</v>
      </c>
      <c r="E1032" s="1" t="s">
        <v>2023</v>
      </c>
      <c r="F1032" s="1" t="s">
        <v>2026</v>
      </c>
      <c r="G1032" s="8" t="s">
        <v>1607</v>
      </c>
      <c r="I1032" s="1" t="n">
        <v>0</v>
      </c>
    </row>
    <row r="1033" customFormat="false" ht="15" hidden="false" customHeight="false" outlineLevel="0" collapsed="false">
      <c r="A1033" s="1" t="s">
        <v>2025</v>
      </c>
      <c r="B1033" s="1" t="s">
        <v>950</v>
      </c>
      <c r="C1033" s="1" t="s">
        <v>1716</v>
      </c>
      <c r="D1033" s="1" t="s">
        <v>1604</v>
      </c>
      <c r="E1033" s="1" t="s">
        <v>2023</v>
      </c>
      <c r="F1033" s="1" t="s">
        <v>2026</v>
      </c>
      <c r="G1033" s="8" t="s">
        <v>1607</v>
      </c>
      <c r="I1033" s="1" t="n">
        <v>0</v>
      </c>
    </row>
    <row r="1034" customFormat="false" ht="15" hidden="false" customHeight="false" outlineLevel="0" collapsed="false">
      <c r="A1034" s="1" t="s">
        <v>2025</v>
      </c>
      <c r="B1034" s="1" t="s">
        <v>950</v>
      </c>
      <c r="C1034" s="1" t="s">
        <v>1717</v>
      </c>
      <c r="D1034" s="1" t="s">
        <v>1604</v>
      </c>
      <c r="E1034" s="1" t="s">
        <v>2023</v>
      </c>
      <c r="F1034" s="1" t="s">
        <v>2026</v>
      </c>
      <c r="G1034" s="8" t="s">
        <v>1607</v>
      </c>
      <c r="I1034" s="1" t="n">
        <v>0</v>
      </c>
    </row>
    <row r="1035" customFormat="false" ht="15" hidden="false" customHeight="false" outlineLevel="0" collapsed="false">
      <c r="A1035" s="1" t="s">
        <v>2025</v>
      </c>
      <c r="B1035" s="1" t="s">
        <v>950</v>
      </c>
      <c r="C1035" s="1" t="s">
        <v>1718</v>
      </c>
      <c r="D1035" s="1" t="s">
        <v>1604</v>
      </c>
      <c r="E1035" s="1" t="s">
        <v>2023</v>
      </c>
      <c r="F1035" s="1" t="s">
        <v>2026</v>
      </c>
      <c r="G1035" s="8" t="s">
        <v>1607</v>
      </c>
      <c r="I1035" s="1" t="n">
        <v>0</v>
      </c>
    </row>
    <row r="1036" customFormat="false" ht="15" hidden="false" customHeight="false" outlineLevel="0" collapsed="false">
      <c r="A1036" s="1" t="s">
        <v>2025</v>
      </c>
      <c r="B1036" s="1" t="s">
        <v>950</v>
      </c>
      <c r="C1036" s="1" t="s">
        <v>1719</v>
      </c>
      <c r="D1036" s="1" t="s">
        <v>1604</v>
      </c>
      <c r="E1036" s="1" t="s">
        <v>2023</v>
      </c>
      <c r="F1036" s="1" t="s">
        <v>2026</v>
      </c>
      <c r="G1036" s="8" t="s">
        <v>1607</v>
      </c>
      <c r="I1036" s="1" t="n">
        <v>0</v>
      </c>
    </row>
    <row r="1037" customFormat="false" ht="15" hidden="false" customHeight="false" outlineLevel="0" collapsed="false">
      <c r="A1037" s="1" t="s">
        <v>2025</v>
      </c>
      <c r="B1037" s="1" t="s">
        <v>950</v>
      </c>
      <c r="C1037" s="1" t="s">
        <v>1720</v>
      </c>
      <c r="D1037" s="1" t="s">
        <v>1604</v>
      </c>
      <c r="E1037" s="1" t="s">
        <v>2023</v>
      </c>
      <c r="F1037" s="1" t="s">
        <v>2026</v>
      </c>
      <c r="G1037" s="8" t="s">
        <v>1607</v>
      </c>
      <c r="I1037" s="1" t="n">
        <v>0</v>
      </c>
    </row>
    <row r="1038" customFormat="false" ht="15" hidden="false" customHeight="false" outlineLevel="0" collapsed="false">
      <c r="A1038" s="1" t="s">
        <v>2025</v>
      </c>
      <c r="B1038" s="1" t="s">
        <v>952</v>
      </c>
      <c r="C1038" s="1" t="s">
        <v>953</v>
      </c>
      <c r="D1038" s="1" t="s">
        <v>1604</v>
      </c>
      <c r="E1038" s="1" t="s">
        <v>2023</v>
      </c>
      <c r="F1038" s="1" t="s">
        <v>2026</v>
      </c>
      <c r="G1038" s="8" t="s">
        <v>1607</v>
      </c>
      <c r="I1038" s="1" t="n">
        <v>1</v>
      </c>
    </row>
    <row r="1039" customFormat="false" ht="15" hidden="false" customHeight="false" outlineLevel="0" collapsed="false">
      <c r="A1039" s="1" t="s">
        <v>2025</v>
      </c>
      <c r="B1039" s="1" t="s">
        <v>954</v>
      </c>
      <c r="C1039" s="1" t="s">
        <v>955</v>
      </c>
      <c r="D1039" s="1" t="s">
        <v>1604</v>
      </c>
      <c r="E1039" s="1" t="s">
        <v>2023</v>
      </c>
      <c r="F1039" s="1" t="s">
        <v>2026</v>
      </c>
      <c r="G1039" s="8" t="s">
        <v>1607</v>
      </c>
      <c r="I1039" s="1" t="n">
        <v>0</v>
      </c>
    </row>
    <row r="1040" customFormat="false" ht="15" hidden="false" customHeight="false" outlineLevel="0" collapsed="false">
      <c r="A1040" s="1" t="s">
        <v>2025</v>
      </c>
      <c r="B1040" s="1" t="s">
        <v>956</v>
      </c>
      <c r="C1040" s="1" t="s">
        <v>957</v>
      </c>
      <c r="D1040" s="1" t="s">
        <v>1604</v>
      </c>
      <c r="E1040" s="1" t="s">
        <v>2023</v>
      </c>
      <c r="F1040" s="1" t="s">
        <v>2026</v>
      </c>
      <c r="G1040" s="8" t="s">
        <v>1607</v>
      </c>
      <c r="I1040" s="1" t="n">
        <v>1</v>
      </c>
    </row>
    <row r="1041" customFormat="false" ht="15" hidden="false" customHeight="false" outlineLevel="0" collapsed="false">
      <c r="A1041" s="1" t="s">
        <v>2025</v>
      </c>
      <c r="B1041" s="1" t="s">
        <v>956</v>
      </c>
      <c r="C1041" s="1" t="s">
        <v>1721</v>
      </c>
      <c r="D1041" s="1" t="s">
        <v>1604</v>
      </c>
      <c r="E1041" s="1" t="s">
        <v>2023</v>
      </c>
      <c r="F1041" s="1" t="s">
        <v>2026</v>
      </c>
      <c r="G1041" s="8" t="s">
        <v>1607</v>
      </c>
      <c r="I1041" s="1" t="n">
        <v>1</v>
      </c>
    </row>
    <row r="1042" customFormat="false" ht="15" hidden="false" customHeight="false" outlineLevel="0" collapsed="false">
      <c r="A1042" s="1" t="s">
        <v>2025</v>
      </c>
      <c r="B1042" s="1" t="s">
        <v>956</v>
      </c>
      <c r="C1042" s="1" t="s">
        <v>1722</v>
      </c>
      <c r="D1042" s="1" t="s">
        <v>1604</v>
      </c>
      <c r="E1042" s="1" t="s">
        <v>2023</v>
      </c>
      <c r="F1042" s="1" t="s">
        <v>2026</v>
      </c>
      <c r="G1042" s="8" t="s">
        <v>1607</v>
      </c>
      <c r="I1042" s="1" t="n">
        <v>0</v>
      </c>
    </row>
    <row r="1043" customFormat="false" ht="15" hidden="false" customHeight="false" outlineLevel="0" collapsed="false">
      <c r="A1043" s="1" t="s">
        <v>2025</v>
      </c>
      <c r="B1043" s="1" t="s">
        <v>956</v>
      </c>
      <c r="C1043" s="1" t="s">
        <v>1723</v>
      </c>
      <c r="D1043" s="1" t="s">
        <v>1604</v>
      </c>
      <c r="E1043" s="1" t="s">
        <v>2023</v>
      </c>
      <c r="F1043" s="1" t="s">
        <v>2026</v>
      </c>
      <c r="G1043" s="8" t="s">
        <v>1607</v>
      </c>
      <c r="I1043" s="1" t="n">
        <v>0</v>
      </c>
    </row>
    <row r="1044" customFormat="false" ht="15" hidden="false" customHeight="false" outlineLevel="0" collapsed="false">
      <c r="A1044" s="1" t="s">
        <v>2025</v>
      </c>
      <c r="B1044" s="1" t="s">
        <v>956</v>
      </c>
      <c r="C1044" s="1" t="s">
        <v>1724</v>
      </c>
      <c r="D1044" s="1" t="s">
        <v>1604</v>
      </c>
      <c r="E1044" s="1" t="s">
        <v>2023</v>
      </c>
      <c r="F1044" s="1" t="s">
        <v>2026</v>
      </c>
      <c r="G1044" s="8" t="s">
        <v>1607</v>
      </c>
      <c r="I1044" s="1" t="n">
        <v>1</v>
      </c>
    </row>
    <row r="1045" customFormat="false" ht="15" hidden="false" customHeight="false" outlineLevel="0" collapsed="false">
      <c r="A1045" s="1" t="s">
        <v>2025</v>
      </c>
      <c r="B1045" s="1" t="s">
        <v>958</v>
      </c>
      <c r="C1045" s="1" t="s">
        <v>959</v>
      </c>
      <c r="D1045" s="1" t="s">
        <v>1604</v>
      </c>
      <c r="E1045" s="1" t="s">
        <v>2023</v>
      </c>
      <c r="F1045" s="1" t="s">
        <v>2026</v>
      </c>
      <c r="G1045" s="8" t="s">
        <v>1632</v>
      </c>
      <c r="H1045" s="1" t="s">
        <v>960</v>
      </c>
      <c r="I1045" s="1" t="n">
        <v>7</v>
      </c>
    </row>
    <row r="1046" customFormat="false" ht="15" hidden="false" customHeight="false" outlineLevel="0" collapsed="false">
      <c r="A1046" s="1" t="s">
        <v>2025</v>
      </c>
      <c r="B1046" s="1" t="s">
        <v>1161</v>
      </c>
      <c r="C1046" s="1" t="s">
        <v>1162</v>
      </c>
      <c r="D1046" s="1" t="s">
        <v>1604</v>
      </c>
      <c r="E1046" s="1" t="s">
        <v>2023</v>
      </c>
      <c r="F1046" s="1" t="s">
        <v>2026</v>
      </c>
      <c r="G1046" s="8" t="s">
        <v>1607</v>
      </c>
      <c r="I1046" s="1" t="n">
        <v>4</v>
      </c>
    </row>
    <row r="1047" customFormat="false" ht="15" hidden="false" customHeight="false" outlineLevel="0" collapsed="false">
      <c r="A1047" s="1" t="s">
        <v>2025</v>
      </c>
      <c r="B1047" s="1" t="s">
        <v>1161</v>
      </c>
      <c r="C1047" s="1" t="s">
        <v>1725</v>
      </c>
      <c r="D1047" s="1" t="s">
        <v>1604</v>
      </c>
      <c r="E1047" s="1" t="s">
        <v>2023</v>
      </c>
      <c r="F1047" s="1" t="s">
        <v>2026</v>
      </c>
      <c r="G1047" s="8" t="s">
        <v>1607</v>
      </c>
      <c r="I1047" s="1" t="n">
        <v>0</v>
      </c>
    </row>
    <row r="1048" customFormat="false" ht="15" hidden="false" customHeight="false" outlineLevel="0" collapsed="false">
      <c r="A1048" s="1" t="s">
        <v>2025</v>
      </c>
      <c r="B1048" s="1" t="s">
        <v>1161</v>
      </c>
      <c r="C1048" s="1" t="s">
        <v>1726</v>
      </c>
      <c r="D1048" s="1" t="s">
        <v>1604</v>
      </c>
      <c r="E1048" s="1" t="s">
        <v>2023</v>
      </c>
      <c r="F1048" s="1" t="s">
        <v>2026</v>
      </c>
      <c r="G1048" s="8" t="s">
        <v>1607</v>
      </c>
      <c r="I1048" s="1" t="n">
        <v>0</v>
      </c>
    </row>
    <row r="1049" customFormat="false" ht="15" hidden="false" customHeight="false" outlineLevel="0" collapsed="false">
      <c r="A1049" s="1" t="s">
        <v>2025</v>
      </c>
      <c r="B1049" s="1" t="s">
        <v>1161</v>
      </c>
      <c r="C1049" s="1" t="s">
        <v>1727</v>
      </c>
      <c r="D1049" s="1" t="s">
        <v>1604</v>
      </c>
      <c r="E1049" s="1" t="s">
        <v>2023</v>
      </c>
      <c r="F1049" s="1" t="s">
        <v>2026</v>
      </c>
      <c r="G1049" s="8" t="s">
        <v>1607</v>
      </c>
      <c r="I1049" s="1" t="n">
        <v>0</v>
      </c>
    </row>
    <row r="1050" customFormat="false" ht="15" hidden="false" customHeight="false" outlineLevel="0" collapsed="false">
      <c r="A1050" s="1" t="s">
        <v>2025</v>
      </c>
      <c r="B1050" s="1" t="s">
        <v>1164</v>
      </c>
      <c r="C1050" s="1" t="s">
        <v>1165</v>
      </c>
      <c r="D1050" s="1" t="s">
        <v>1604</v>
      </c>
      <c r="E1050" s="1" t="s">
        <v>2023</v>
      </c>
      <c r="F1050" s="1" t="s">
        <v>2026</v>
      </c>
      <c r="G1050" s="8" t="s">
        <v>1607</v>
      </c>
      <c r="I1050" s="1" t="n">
        <v>0</v>
      </c>
    </row>
    <row r="1051" customFormat="false" ht="15" hidden="false" customHeight="false" outlineLevel="0" collapsed="false">
      <c r="A1051" s="1" t="s">
        <v>2025</v>
      </c>
      <c r="B1051" s="1" t="s">
        <v>1164</v>
      </c>
      <c r="C1051" s="1" t="s">
        <v>1728</v>
      </c>
      <c r="D1051" s="1" t="s">
        <v>1604</v>
      </c>
      <c r="E1051" s="1" t="s">
        <v>2023</v>
      </c>
      <c r="F1051" s="1" t="s">
        <v>2026</v>
      </c>
      <c r="G1051" s="8" t="s">
        <v>1607</v>
      </c>
      <c r="I1051" s="1" t="n">
        <v>0</v>
      </c>
    </row>
    <row r="1052" customFormat="false" ht="15" hidden="false" customHeight="false" outlineLevel="0" collapsed="false">
      <c r="A1052" s="1" t="s">
        <v>2025</v>
      </c>
      <c r="B1052" s="1" t="s">
        <v>1164</v>
      </c>
      <c r="C1052" s="1" t="s">
        <v>1729</v>
      </c>
      <c r="D1052" s="1" t="s">
        <v>1604</v>
      </c>
      <c r="E1052" s="1" t="s">
        <v>2023</v>
      </c>
      <c r="F1052" s="1" t="s">
        <v>2026</v>
      </c>
      <c r="G1052" s="8" t="s">
        <v>1607</v>
      </c>
      <c r="I1052" s="1" t="n">
        <v>0</v>
      </c>
    </row>
    <row r="1053" customFormat="false" ht="15" hidden="false" customHeight="false" outlineLevel="0" collapsed="false">
      <c r="A1053" s="1" t="s">
        <v>2025</v>
      </c>
      <c r="B1053" s="1" t="s">
        <v>1164</v>
      </c>
      <c r="C1053" s="1" t="s">
        <v>1730</v>
      </c>
      <c r="D1053" s="1" t="s">
        <v>1604</v>
      </c>
      <c r="E1053" s="1" t="s">
        <v>2023</v>
      </c>
      <c r="F1053" s="1" t="s">
        <v>2026</v>
      </c>
      <c r="G1053" s="8" t="s">
        <v>1607</v>
      </c>
      <c r="I1053" s="1" t="n">
        <v>0</v>
      </c>
    </row>
    <row r="1054" customFormat="false" ht="15" hidden="false" customHeight="false" outlineLevel="0" collapsed="false">
      <c r="A1054" s="1" t="s">
        <v>2025</v>
      </c>
      <c r="B1054" s="1" t="s">
        <v>1164</v>
      </c>
      <c r="C1054" s="1" t="s">
        <v>1731</v>
      </c>
      <c r="D1054" s="1" t="s">
        <v>1604</v>
      </c>
      <c r="E1054" s="1" t="s">
        <v>2023</v>
      </c>
      <c r="F1054" s="1" t="s">
        <v>2026</v>
      </c>
      <c r="G1054" s="8" t="s">
        <v>1607</v>
      </c>
      <c r="I1054" s="1" t="n">
        <v>0</v>
      </c>
    </row>
    <row r="1055" customFormat="false" ht="15" hidden="false" customHeight="false" outlineLevel="0" collapsed="false">
      <c r="A1055" s="1" t="s">
        <v>2025</v>
      </c>
      <c r="B1055" s="1" t="s">
        <v>1164</v>
      </c>
      <c r="C1055" s="1" t="s">
        <v>1732</v>
      </c>
      <c r="D1055" s="1" t="s">
        <v>1604</v>
      </c>
      <c r="E1055" s="1" t="s">
        <v>2023</v>
      </c>
      <c r="F1055" s="1" t="s">
        <v>2026</v>
      </c>
      <c r="G1055" s="8" t="s">
        <v>1607</v>
      </c>
      <c r="I1055" s="1" t="n">
        <v>0</v>
      </c>
    </row>
    <row r="1056" customFormat="false" ht="15" hidden="false" customHeight="false" outlineLevel="0" collapsed="false">
      <c r="A1056" s="1" t="s">
        <v>2025</v>
      </c>
      <c r="B1056" s="1" t="s">
        <v>1164</v>
      </c>
      <c r="C1056" s="1" t="s">
        <v>1733</v>
      </c>
      <c r="D1056" s="1" t="s">
        <v>1604</v>
      </c>
      <c r="E1056" s="1" t="s">
        <v>2023</v>
      </c>
      <c r="F1056" s="1" t="s">
        <v>2026</v>
      </c>
      <c r="G1056" s="8" t="s">
        <v>1607</v>
      </c>
      <c r="I1056" s="1" t="n">
        <v>0</v>
      </c>
    </row>
    <row r="1057" customFormat="false" ht="15" hidden="false" customHeight="false" outlineLevel="0" collapsed="false">
      <c r="A1057" s="1" t="s">
        <v>2025</v>
      </c>
      <c r="B1057" s="1" t="s">
        <v>1166</v>
      </c>
      <c r="C1057" s="1" t="s">
        <v>1167</v>
      </c>
      <c r="D1057" s="1" t="s">
        <v>1604</v>
      </c>
      <c r="E1057" s="1" t="s">
        <v>2023</v>
      </c>
      <c r="F1057" s="1" t="s">
        <v>2026</v>
      </c>
      <c r="G1057" s="8" t="s">
        <v>1607</v>
      </c>
      <c r="I1057" s="1" t="n">
        <v>0</v>
      </c>
    </row>
    <row r="1058" customFormat="false" ht="15" hidden="false" customHeight="false" outlineLevel="0" collapsed="false">
      <c r="A1058" s="1" t="s">
        <v>2025</v>
      </c>
      <c r="B1058" s="1" t="s">
        <v>1166</v>
      </c>
      <c r="C1058" s="1" t="s">
        <v>1734</v>
      </c>
      <c r="D1058" s="1" t="s">
        <v>1604</v>
      </c>
      <c r="E1058" s="1" t="s">
        <v>2023</v>
      </c>
      <c r="F1058" s="1" t="s">
        <v>2026</v>
      </c>
      <c r="G1058" s="8" t="s">
        <v>1607</v>
      </c>
      <c r="I1058" s="1" t="n">
        <v>0</v>
      </c>
    </row>
    <row r="1059" customFormat="false" ht="15" hidden="false" customHeight="false" outlineLevel="0" collapsed="false">
      <c r="A1059" s="1" t="s">
        <v>2025</v>
      </c>
      <c r="B1059" s="1" t="s">
        <v>1166</v>
      </c>
      <c r="C1059" s="1" t="s">
        <v>1735</v>
      </c>
      <c r="D1059" s="1" t="s">
        <v>1604</v>
      </c>
      <c r="E1059" s="1" t="s">
        <v>2023</v>
      </c>
      <c r="F1059" s="1" t="s">
        <v>2026</v>
      </c>
      <c r="G1059" s="8" t="s">
        <v>1607</v>
      </c>
      <c r="I1059" s="1" t="n">
        <v>0</v>
      </c>
    </row>
    <row r="1060" customFormat="false" ht="15" hidden="false" customHeight="false" outlineLevel="0" collapsed="false">
      <c r="A1060" s="1" t="s">
        <v>2025</v>
      </c>
      <c r="B1060" s="1" t="s">
        <v>1166</v>
      </c>
      <c r="C1060" s="1" t="s">
        <v>1736</v>
      </c>
      <c r="D1060" s="1" t="s">
        <v>1604</v>
      </c>
      <c r="E1060" s="1" t="s">
        <v>2023</v>
      </c>
      <c r="F1060" s="1" t="s">
        <v>2026</v>
      </c>
      <c r="G1060" s="8" t="s">
        <v>1607</v>
      </c>
      <c r="I1060" s="1" t="n">
        <v>0</v>
      </c>
    </row>
    <row r="1061" customFormat="false" ht="15" hidden="false" customHeight="false" outlineLevel="0" collapsed="false">
      <c r="A1061" s="1" t="s">
        <v>2025</v>
      </c>
      <c r="B1061" s="1" t="s">
        <v>1166</v>
      </c>
      <c r="C1061" s="1" t="s">
        <v>1737</v>
      </c>
      <c r="D1061" s="1" t="s">
        <v>1604</v>
      </c>
      <c r="E1061" s="1" t="s">
        <v>2023</v>
      </c>
      <c r="F1061" s="1" t="s">
        <v>2026</v>
      </c>
      <c r="G1061" s="8" t="s">
        <v>1607</v>
      </c>
      <c r="I1061" s="1" t="n">
        <v>0</v>
      </c>
    </row>
    <row r="1062" customFormat="false" ht="15" hidden="false" customHeight="false" outlineLevel="0" collapsed="false">
      <c r="A1062" s="1" t="s">
        <v>2025</v>
      </c>
      <c r="B1062" s="1" t="s">
        <v>1166</v>
      </c>
      <c r="C1062" s="1" t="s">
        <v>1738</v>
      </c>
      <c r="D1062" s="1" t="s">
        <v>1604</v>
      </c>
      <c r="E1062" s="1" t="s">
        <v>2023</v>
      </c>
      <c r="F1062" s="1" t="s">
        <v>2026</v>
      </c>
      <c r="G1062" s="8" t="s">
        <v>1607</v>
      </c>
      <c r="I1062" s="1" t="n">
        <v>0</v>
      </c>
    </row>
    <row r="1063" customFormat="false" ht="15" hidden="false" customHeight="false" outlineLevel="0" collapsed="false">
      <c r="A1063" s="1" t="s">
        <v>2025</v>
      </c>
      <c r="B1063" s="1" t="s">
        <v>1166</v>
      </c>
      <c r="C1063" s="1" t="s">
        <v>1739</v>
      </c>
      <c r="D1063" s="1" t="s">
        <v>1604</v>
      </c>
      <c r="E1063" s="1" t="s">
        <v>2023</v>
      </c>
      <c r="F1063" s="1" t="s">
        <v>2026</v>
      </c>
      <c r="G1063" s="8" t="s">
        <v>1607</v>
      </c>
      <c r="I1063" s="1" t="n">
        <v>0</v>
      </c>
    </row>
    <row r="1064" customFormat="false" ht="15" hidden="false" customHeight="false" outlineLevel="0" collapsed="false">
      <c r="A1064" s="1" t="s">
        <v>2025</v>
      </c>
      <c r="B1064" s="1" t="s">
        <v>1166</v>
      </c>
      <c r="C1064" s="1" t="s">
        <v>1740</v>
      </c>
      <c r="D1064" s="1" t="s">
        <v>1604</v>
      </c>
      <c r="E1064" s="1" t="s">
        <v>2023</v>
      </c>
      <c r="F1064" s="1" t="s">
        <v>2026</v>
      </c>
      <c r="G1064" s="8" t="s">
        <v>1607</v>
      </c>
      <c r="I1064" s="1" t="n">
        <v>0</v>
      </c>
    </row>
    <row r="1065" customFormat="false" ht="15" hidden="false" customHeight="false" outlineLevel="0" collapsed="false">
      <c r="A1065" s="1" t="s">
        <v>2025</v>
      </c>
      <c r="B1065" s="1" t="s">
        <v>1166</v>
      </c>
      <c r="C1065" s="1" t="s">
        <v>1741</v>
      </c>
      <c r="D1065" s="1" t="s">
        <v>1604</v>
      </c>
      <c r="E1065" s="1" t="s">
        <v>2023</v>
      </c>
      <c r="F1065" s="1" t="s">
        <v>2026</v>
      </c>
      <c r="G1065" s="8" t="s">
        <v>1607</v>
      </c>
      <c r="I1065" s="1" t="n">
        <v>0</v>
      </c>
    </row>
    <row r="1066" customFormat="false" ht="15" hidden="false" customHeight="false" outlineLevel="0" collapsed="false">
      <c r="A1066" s="1" t="s">
        <v>2025</v>
      </c>
      <c r="B1066" s="1" t="s">
        <v>1166</v>
      </c>
      <c r="C1066" s="1" t="s">
        <v>1742</v>
      </c>
      <c r="D1066" s="1" t="s">
        <v>1604</v>
      </c>
      <c r="E1066" s="1" t="s">
        <v>2023</v>
      </c>
      <c r="F1066" s="1" t="s">
        <v>2026</v>
      </c>
      <c r="G1066" s="8" t="s">
        <v>1607</v>
      </c>
      <c r="I1066" s="1" t="n">
        <v>0</v>
      </c>
    </row>
    <row r="1067" customFormat="false" ht="15" hidden="false" customHeight="false" outlineLevel="0" collapsed="false">
      <c r="A1067" s="1" t="s">
        <v>2025</v>
      </c>
      <c r="B1067" s="1" t="s">
        <v>1166</v>
      </c>
      <c r="C1067" s="1" t="s">
        <v>1743</v>
      </c>
      <c r="D1067" s="1" t="s">
        <v>1604</v>
      </c>
      <c r="E1067" s="1" t="s">
        <v>2023</v>
      </c>
      <c r="F1067" s="1" t="s">
        <v>2026</v>
      </c>
      <c r="G1067" s="8" t="s">
        <v>1607</v>
      </c>
      <c r="I1067" s="1" t="n">
        <v>0</v>
      </c>
    </row>
    <row r="1068" customFormat="false" ht="15" hidden="false" customHeight="false" outlineLevel="0" collapsed="false">
      <c r="A1068" s="1" t="s">
        <v>2025</v>
      </c>
      <c r="B1068" s="1" t="s">
        <v>1166</v>
      </c>
      <c r="C1068" s="1" t="s">
        <v>1744</v>
      </c>
      <c r="D1068" s="1" t="s">
        <v>1604</v>
      </c>
      <c r="E1068" s="1" t="s">
        <v>2023</v>
      </c>
      <c r="F1068" s="1" t="s">
        <v>2026</v>
      </c>
      <c r="G1068" s="8" t="s">
        <v>1607</v>
      </c>
      <c r="I1068" s="1" t="n">
        <v>0</v>
      </c>
    </row>
    <row r="1069" customFormat="false" ht="15" hidden="false" customHeight="false" outlineLevel="0" collapsed="false">
      <c r="A1069" s="1" t="s">
        <v>2025</v>
      </c>
      <c r="B1069" s="1" t="s">
        <v>1168</v>
      </c>
      <c r="C1069" s="1" t="s">
        <v>1169</v>
      </c>
      <c r="D1069" s="1" t="s">
        <v>1604</v>
      </c>
      <c r="E1069" s="1" t="s">
        <v>2023</v>
      </c>
      <c r="F1069" s="1" t="s">
        <v>2026</v>
      </c>
      <c r="G1069" s="8" t="s">
        <v>1607</v>
      </c>
      <c r="I1069" s="1" t="n">
        <v>0</v>
      </c>
    </row>
    <row r="1070" customFormat="false" ht="15" hidden="false" customHeight="false" outlineLevel="0" collapsed="false">
      <c r="A1070" s="1" t="s">
        <v>2025</v>
      </c>
      <c r="B1070" s="1" t="s">
        <v>1170</v>
      </c>
      <c r="C1070" s="1" t="s">
        <v>1171</v>
      </c>
      <c r="D1070" s="1" t="s">
        <v>1604</v>
      </c>
      <c r="E1070" s="1" t="s">
        <v>2023</v>
      </c>
      <c r="F1070" s="1" t="s">
        <v>2026</v>
      </c>
      <c r="G1070" s="8" t="s">
        <v>1607</v>
      </c>
      <c r="I1070" s="1" t="n">
        <v>1</v>
      </c>
    </row>
    <row r="1071" customFormat="false" ht="15" hidden="false" customHeight="false" outlineLevel="0" collapsed="false">
      <c r="A1071" s="1" t="s">
        <v>2025</v>
      </c>
      <c r="B1071" s="1" t="s">
        <v>1170</v>
      </c>
      <c r="C1071" s="1" t="s">
        <v>1745</v>
      </c>
      <c r="D1071" s="1" t="s">
        <v>1604</v>
      </c>
      <c r="E1071" s="1" t="s">
        <v>2023</v>
      </c>
      <c r="F1071" s="1" t="s">
        <v>2026</v>
      </c>
      <c r="G1071" s="8" t="s">
        <v>1607</v>
      </c>
      <c r="I1071" s="1" t="n">
        <v>0</v>
      </c>
    </row>
    <row r="1072" customFormat="false" ht="15" hidden="false" customHeight="false" outlineLevel="0" collapsed="false">
      <c r="A1072" s="1" t="s">
        <v>2025</v>
      </c>
      <c r="B1072" s="1" t="s">
        <v>1170</v>
      </c>
      <c r="C1072" s="1" t="s">
        <v>1746</v>
      </c>
      <c r="D1072" s="1" t="s">
        <v>1604</v>
      </c>
      <c r="E1072" s="1" t="s">
        <v>2023</v>
      </c>
      <c r="F1072" s="1" t="s">
        <v>2026</v>
      </c>
      <c r="G1072" s="8" t="s">
        <v>1607</v>
      </c>
      <c r="I1072" s="1" t="n">
        <v>7</v>
      </c>
    </row>
    <row r="1073" customFormat="false" ht="15" hidden="false" customHeight="false" outlineLevel="0" collapsed="false">
      <c r="A1073" s="1" t="s">
        <v>2025</v>
      </c>
      <c r="B1073" s="1" t="s">
        <v>1170</v>
      </c>
      <c r="C1073" s="1" t="s">
        <v>1747</v>
      </c>
      <c r="D1073" s="1" t="s">
        <v>1604</v>
      </c>
      <c r="E1073" s="1" t="s">
        <v>2023</v>
      </c>
      <c r="F1073" s="1" t="s">
        <v>2026</v>
      </c>
      <c r="G1073" s="8" t="s">
        <v>1607</v>
      </c>
      <c r="I1073" s="1" t="n">
        <v>0</v>
      </c>
    </row>
    <row r="1074" customFormat="false" ht="15" hidden="false" customHeight="false" outlineLevel="0" collapsed="false">
      <c r="A1074" s="1" t="s">
        <v>2025</v>
      </c>
      <c r="B1074" s="1" t="s">
        <v>1170</v>
      </c>
      <c r="C1074" s="1" t="s">
        <v>1748</v>
      </c>
      <c r="D1074" s="1" t="s">
        <v>1604</v>
      </c>
      <c r="E1074" s="1" t="s">
        <v>2023</v>
      </c>
      <c r="F1074" s="1" t="s">
        <v>2026</v>
      </c>
      <c r="G1074" s="8" t="s">
        <v>1607</v>
      </c>
      <c r="I1074" s="1" t="n">
        <v>0</v>
      </c>
    </row>
    <row r="1075" customFormat="false" ht="15" hidden="false" customHeight="false" outlineLevel="0" collapsed="false">
      <c r="A1075" s="1" t="s">
        <v>2025</v>
      </c>
      <c r="B1075" s="1" t="s">
        <v>1172</v>
      </c>
      <c r="C1075" s="1" t="s">
        <v>1173</v>
      </c>
      <c r="D1075" s="1" t="s">
        <v>1604</v>
      </c>
      <c r="E1075" s="1" t="s">
        <v>2023</v>
      </c>
      <c r="F1075" s="1" t="s">
        <v>2026</v>
      </c>
      <c r="G1075" s="8" t="s">
        <v>1607</v>
      </c>
      <c r="I1075" s="1" t="n">
        <v>0</v>
      </c>
    </row>
    <row r="1076" customFormat="false" ht="15" hidden="false" customHeight="false" outlineLevel="0" collapsed="false">
      <c r="A1076" s="1" t="s">
        <v>2025</v>
      </c>
      <c r="B1076" s="1" t="s">
        <v>1174</v>
      </c>
      <c r="C1076" s="1" t="s">
        <v>1175</v>
      </c>
      <c r="D1076" s="1" t="s">
        <v>1604</v>
      </c>
      <c r="E1076" s="1" t="s">
        <v>2023</v>
      </c>
      <c r="F1076" s="1" t="s">
        <v>2026</v>
      </c>
      <c r="G1076" s="8" t="s">
        <v>1607</v>
      </c>
      <c r="I1076" s="1" t="n">
        <v>0</v>
      </c>
    </row>
    <row r="1077" customFormat="false" ht="15" hidden="false" customHeight="false" outlineLevel="0" collapsed="false">
      <c r="A1077" s="1" t="s">
        <v>2025</v>
      </c>
      <c r="B1077" s="1" t="s">
        <v>1174</v>
      </c>
      <c r="C1077" s="1" t="s">
        <v>1749</v>
      </c>
      <c r="D1077" s="1" t="s">
        <v>1604</v>
      </c>
      <c r="E1077" s="1" t="s">
        <v>2023</v>
      </c>
      <c r="F1077" s="1" t="s">
        <v>2026</v>
      </c>
      <c r="G1077" s="8" t="s">
        <v>1607</v>
      </c>
      <c r="I1077" s="1" t="n">
        <v>0</v>
      </c>
    </row>
    <row r="1078" customFormat="false" ht="15" hidden="false" customHeight="false" outlineLevel="0" collapsed="false">
      <c r="A1078" s="1" t="s">
        <v>2025</v>
      </c>
      <c r="B1078" s="1" t="s">
        <v>1176</v>
      </c>
      <c r="C1078" s="1" t="s">
        <v>1177</v>
      </c>
      <c r="D1078" s="1" t="s">
        <v>1604</v>
      </c>
      <c r="E1078" s="1" t="s">
        <v>2023</v>
      </c>
      <c r="F1078" s="1" t="s">
        <v>2026</v>
      </c>
      <c r="G1078" s="8" t="s">
        <v>1607</v>
      </c>
      <c r="I1078" s="1" t="n">
        <v>0</v>
      </c>
    </row>
    <row r="1079" customFormat="false" ht="15" hidden="false" customHeight="false" outlineLevel="0" collapsed="false">
      <c r="A1079" s="1" t="s">
        <v>2025</v>
      </c>
      <c r="B1079" s="1" t="s">
        <v>1176</v>
      </c>
      <c r="C1079" s="1" t="s">
        <v>1750</v>
      </c>
      <c r="D1079" s="1" t="s">
        <v>1604</v>
      </c>
      <c r="E1079" s="1" t="s">
        <v>2023</v>
      </c>
      <c r="F1079" s="1" t="s">
        <v>2026</v>
      </c>
      <c r="G1079" s="8" t="s">
        <v>1607</v>
      </c>
      <c r="I1079" s="1" t="n">
        <v>0</v>
      </c>
    </row>
    <row r="1080" customFormat="false" ht="15" hidden="false" customHeight="false" outlineLevel="0" collapsed="false">
      <c r="A1080" s="1" t="s">
        <v>2025</v>
      </c>
      <c r="B1080" s="1" t="s">
        <v>1176</v>
      </c>
      <c r="C1080" s="1" t="s">
        <v>1751</v>
      </c>
      <c r="D1080" s="1" t="s">
        <v>1604</v>
      </c>
      <c r="E1080" s="1" t="s">
        <v>2023</v>
      </c>
      <c r="F1080" s="1" t="s">
        <v>2026</v>
      </c>
      <c r="G1080" s="8" t="s">
        <v>1607</v>
      </c>
      <c r="I1080" s="1" t="n">
        <v>0</v>
      </c>
    </row>
    <row r="1081" customFormat="false" ht="15" hidden="false" customHeight="false" outlineLevel="0" collapsed="false">
      <c r="A1081" s="1" t="s">
        <v>2025</v>
      </c>
      <c r="B1081" s="1" t="s">
        <v>1176</v>
      </c>
      <c r="C1081" s="1" t="s">
        <v>1752</v>
      </c>
      <c r="D1081" s="1" t="s">
        <v>1604</v>
      </c>
      <c r="E1081" s="1" t="s">
        <v>2023</v>
      </c>
      <c r="F1081" s="1" t="s">
        <v>2026</v>
      </c>
      <c r="G1081" s="8" t="s">
        <v>1607</v>
      </c>
      <c r="I1081" s="1" t="n">
        <v>0</v>
      </c>
    </row>
    <row r="1082" customFormat="false" ht="15" hidden="false" customHeight="false" outlineLevel="0" collapsed="false">
      <c r="A1082" s="1" t="s">
        <v>2025</v>
      </c>
      <c r="B1082" s="1" t="s">
        <v>1176</v>
      </c>
      <c r="C1082" s="1" t="s">
        <v>1753</v>
      </c>
      <c r="D1082" s="1" t="s">
        <v>1604</v>
      </c>
      <c r="E1082" s="1" t="s">
        <v>2023</v>
      </c>
      <c r="F1082" s="1" t="s">
        <v>2026</v>
      </c>
      <c r="G1082" s="8" t="s">
        <v>1607</v>
      </c>
      <c r="I1082" s="1" t="n">
        <v>0</v>
      </c>
    </row>
    <row r="1083" customFormat="false" ht="15" hidden="false" customHeight="false" outlineLevel="0" collapsed="false">
      <c r="A1083" s="1" t="s">
        <v>2025</v>
      </c>
      <c r="B1083" s="1" t="s">
        <v>1176</v>
      </c>
      <c r="C1083" s="1" t="s">
        <v>1754</v>
      </c>
      <c r="D1083" s="1" t="s">
        <v>1604</v>
      </c>
      <c r="E1083" s="1" t="s">
        <v>2023</v>
      </c>
      <c r="F1083" s="1" t="s">
        <v>2026</v>
      </c>
      <c r="G1083" s="8" t="s">
        <v>1607</v>
      </c>
      <c r="I1083" s="1" t="n">
        <v>0</v>
      </c>
    </row>
    <row r="1084" customFormat="false" ht="15" hidden="false" customHeight="false" outlineLevel="0" collapsed="false">
      <c r="A1084" s="1" t="s">
        <v>2025</v>
      </c>
      <c r="B1084" s="1" t="s">
        <v>1176</v>
      </c>
      <c r="C1084" s="1" t="s">
        <v>1755</v>
      </c>
      <c r="D1084" s="1" t="s">
        <v>1604</v>
      </c>
      <c r="E1084" s="1" t="s">
        <v>2023</v>
      </c>
      <c r="F1084" s="1" t="s">
        <v>2026</v>
      </c>
      <c r="G1084" s="8" t="s">
        <v>1607</v>
      </c>
      <c r="I1084" s="1" t="n">
        <v>0</v>
      </c>
    </row>
    <row r="1085" customFormat="false" ht="15" hidden="false" customHeight="false" outlineLevel="0" collapsed="false">
      <c r="A1085" s="1" t="s">
        <v>2025</v>
      </c>
      <c r="B1085" s="1" t="s">
        <v>1176</v>
      </c>
      <c r="C1085" s="1" t="s">
        <v>1756</v>
      </c>
      <c r="D1085" s="1" t="s">
        <v>1604</v>
      </c>
      <c r="E1085" s="1" t="s">
        <v>2023</v>
      </c>
      <c r="F1085" s="1" t="s">
        <v>2026</v>
      </c>
      <c r="G1085" s="8" t="s">
        <v>1607</v>
      </c>
      <c r="I1085" s="1" t="n">
        <v>0</v>
      </c>
    </row>
    <row r="1086" customFormat="false" ht="15" hidden="false" customHeight="false" outlineLevel="0" collapsed="false">
      <c r="A1086" s="1" t="s">
        <v>2025</v>
      </c>
      <c r="B1086" s="1" t="s">
        <v>1178</v>
      </c>
      <c r="C1086" s="1" t="s">
        <v>1179</v>
      </c>
      <c r="D1086" s="1" t="s">
        <v>1604</v>
      </c>
      <c r="E1086" s="1" t="s">
        <v>2023</v>
      </c>
      <c r="F1086" s="1" t="s">
        <v>2026</v>
      </c>
      <c r="G1086" s="8" t="s">
        <v>1607</v>
      </c>
      <c r="I1086" s="1" t="n">
        <v>0</v>
      </c>
    </row>
    <row r="1087" customFormat="false" ht="15" hidden="false" customHeight="false" outlineLevel="0" collapsed="false">
      <c r="A1087" s="1" t="s">
        <v>2025</v>
      </c>
      <c r="B1087" s="1" t="s">
        <v>1178</v>
      </c>
      <c r="C1087" s="1" t="s">
        <v>1757</v>
      </c>
      <c r="D1087" s="1" t="s">
        <v>1604</v>
      </c>
      <c r="E1087" s="1" t="s">
        <v>2023</v>
      </c>
      <c r="F1087" s="1" t="s">
        <v>2026</v>
      </c>
      <c r="G1087" s="8" t="s">
        <v>1607</v>
      </c>
      <c r="I1087" s="1" t="n">
        <v>0</v>
      </c>
    </row>
    <row r="1088" customFormat="false" ht="15" hidden="false" customHeight="false" outlineLevel="0" collapsed="false">
      <c r="A1088" s="1" t="s">
        <v>2025</v>
      </c>
      <c r="B1088" s="1" t="s">
        <v>1178</v>
      </c>
      <c r="C1088" s="1" t="s">
        <v>1758</v>
      </c>
      <c r="D1088" s="1" t="s">
        <v>1604</v>
      </c>
      <c r="E1088" s="1" t="s">
        <v>2023</v>
      </c>
      <c r="F1088" s="1" t="s">
        <v>2026</v>
      </c>
      <c r="G1088" s="8" t="s">
        <v>1607</v>
      </c>
      <c r="I1088" s="1" t="n">
        <v>0</v>
      </c>
    </row>
    <row r="1089" customFormat="false" ht="15" hidden="false" customHeight="false" outlineLevel="0" collapsed="false">
      <c r="A1089" s="1" t="s">
        <v>2025</v>
      </c>
      <c r="B1089" s="1" t="s">
        <v>1178</v>
      </c>
      <c r="C1089" s="1" t="s">
        <v>1759</v>
      </c>
      <c r="D1089" s="1" t="s">
        <v>1604</v>
      </c>
      <c r="E1089" s="1" t="s">
        <v>2023</v>
      </c>
      <c r="F1089" s="1" t="s">
        <v>2026</v>
      </c>
      <c r="G1089" s="8" t="s">
        <v>1607</v>
      </c>
      <c r="I1089" s="1" t="n">
        <v>0</v>
      </c>
    </row>
    <row r="1090" customFormat="false" ht="15" hidden="false" customHeight="false" outlineLevel="0" collapsed="false">
      <c r="A1090" s="1" t="s">
        <v>2025</v>
      </c>
      <c r="B1090" s="1" t="s">
        <v>1180</v>
      </c>
      <c r="C1090" s="1" t="s">
        <v>1181</v>
      </c>
      <c r="D1090" s="1" t="s">
        <v>1604</v>
      </c>
      <c r="E1090" s="1" t="s">
        <v>2023</v>
      </c>
      <c r="F1090" s="1" t="s">
        <v>2026</v>
      </c>
      <c r="G1090" s="8" t="s">
        <v>1607</v>
      </c>
      <c r="I1090" s="1" t="n">
        <v>1</v>
      </c>
    </row>
    <row r="1091" customFormat="false" ht="15" hidden="false" customHeight="false" outlineLevel="0" collapsed="false">
      <c r="A1091" s="1" t="s">
        <v>2025</v>
      </c>
      <c r="B1091" s="1" t="s">
        <v>1180</v>
      </c>
      <c r="C1091" s="1" t="s">
        <v>1760</v>
      </c>
      <c r="D1091" s="1" t="s">
        <v>1604</v>
      </c>
      <c r="E1091" s="1" t="s">
        <v>2023</v>
      </c>
      <c r="F1091" s="1" t="s">
        <v>2026</v>
      </c>
      <c r="G1091" s="8" t="s">
        <v>1607</v>
      </c>
      <c r="I1091" s="1" t="n">
        <v>1</v>
      </c>
    </row>
    <row r="1092" customFormat="false" ht="15" hidden="false" customHeight="false" outlineLevel="0" collapsed="false">
      <c r="A1092" s="1" t="s">
        <v>2025</v>
      </c>
      <c r="B1092" s="1" t="s">
        <v>1180</v>
      </c>
      <c r="C1092" s="1" t="s">
        <v>1761</v>
      </c>
      <c r="D1092" s="1" t="s">
        <v>1604</v>
      </c>
      <c r="E1092" s="1" t="s">
        <v>2023</v>
      </c>
      <c r="F1092" s="1" t="s">
        <v>2026</v>
      </c>
      <c r="G1092" s="8" t="s">
        <v>1607</v>
      </c>
      <c r="I1092" s="1" t="n">
        <v>1</v>
      </c>
    </row>
    <row r="1093" customFormat="false" ht="15" hidden="false" customHeight="false" outlineLevel="0" collapsed="false">
      <c r="A1093" s="1" t="s">
        <v>2025</v>
      </c>
      <c r="B1093" s="1" t="s">
        <v>1180</v>
      </c>
      <c r="C1093" s="1" t="s">
        <v>1762</v>
      </c>
      <c r="D1093" s="1" t="s">
        <v>1604</v>
      </c>
      <c r="E1093" s="1" t="s">
        <v>2023</v>
      </c>
      <c r="F1093" s="1" t="s">
        <v>2026</v>
      </c>
      <c r="G1093" s="8" t="s">
        <v>1607</v>
      </c>
      <c r="I1093" s="1" t="n">
        <v>1</v>
      </c>
    </row>
    <row r="1094" customFormat="false" ht="15" hidden="false" customHeight="false" outlineLevel="0" collapsed="false">
      <c r="A1094" s="1" t="s">
        <v>2025</v>
      </c>
      <c r="B1094" s="1" t="s">
        <v>1180</v>
      </c>
      <c r="C1094" s="1" t="s">
        <v>1763</v>
      </c>
      <c r="D1094" s="1" t="s">
        <v>1604</v>
      </c>
      <c r="E1094" s="1" t="s">
        <v>2023</v>
      </c>
      <c r="F1094" s="1" t="s">
        <v>2026</v>
      </c>
      <c r="G1094" s="8" t="s">
        <v>1607</v>
      </c>
      <c r="I1094" s="1" t="n">
        <v>0</v>
      </c>
    </row>
    <row r="1095" customFormat="false" ht="15" hidden="false" customHeight="false" outlineLevel="0" collapsed="false">
      <c r="A1095" s="1" t="s">
        <v>2025</v>
      </c>
      <c r="B1095" s="1" t="s">
        <v>1180</v>
      </c>
      <c r="C1095" s="1" t="s">
        <v>1764</v>
      </c>
      <c r="D1095" s="1" t="s">
        <v>1604</v>
      </c>
      <c r="E1095" s="1" t="s">
        <v>2023</v>
      </c>
      <c r="F1095" s="1" t="s">
        <v>2026</v>
      </c>
      <c r="G1095" s="8" t="s">
        <v>1607</v>
      </c>
      <c r="I1095" s="1" t="n">
        <v>0</v>
      </c>
    </row>
    <row r="1096" customFormat="false" ht="15" hidden="false" customHeight="false" outlineLevel="0" collapsed="false">
      <c r="A1096" s="1" t="s">
        <v>2025</v>
      </c>
      <c r="B1096" s="1" t="s">
        <v>1182</v>
      </c>
      <c r="C1096" s="1" t="s">
        <v>1183</v>
      </c>
      <c r="D1096" s="1" t="s">
        <v>1604</v>
      </c>
      <c r="E1096" s="1" t="s">
        <v>2023</v>
      </c>
      <c r="F1096" s="1" t="s">
        <v>2026</v>
      </c>
      <c r="G1096" s="8" t="s">
        <v>1607</v>
      </c>
      <c r="I1096" s="1" t="n">
        <v>0</v>
      </c>
    </row>
    <row r="1097" customFormat="false" ht="15" hidden="false" customHeight="false" outlineLevel="0" collapsed="false">
      <c r="A1097" s="1" t="s">
        <v>2025</v>
      </c>
      <c r="B1097" s="1" t="s">
        <v>1184</v>
      </c>
      <c r="C1097" s="1" t="s">
        <v>1185</v>
      </c>
      <c r="D1097" s="1" t="s">
        <v>1604</v>
      </c>
      <c r="E1097" s="1" t="s">
        <v>2023</v>
      </c>
      <c r="F1097" s="1" t="s">
        <v>2026</v>
      </c>
      <c r="G1097" s="8" t="s">
        <v>1607</v>
      </c>
      <c r="I1097" s="1" t="n">
        <v>3</v>
      </c>
    </row>
    <row r="1098" customFormat="false" ht="15" hidden="false" customHeight="false" outlineLevel="0" collapsed="false">
      <c r="A1098" s="1" t="s">
        <v>2025</v>
      </c>
      <c r="B1098" s="1" t="s">
        <v>1186</v>
      </c>
      <c r="C1098" s="1" t="s">
        <v>1187</v>
      </c>
      <c r="D1098" s="1" t="s">
        <v>1604</v>
      </c>
      <c r="E1098" s="1" t="s">
        <v>2023</v>
      </c>
      <c r="F1098" s="1" t="s">
        <v>2026</v>
      </c>
      <c r="G1098" s="8" t="s">
        <v>1607</v>
      </c>
      <c r="I1098" s="1" t="n">
        <v>1</v>
      </c>
    </row>
    <row r="1099" customFormat="false" ht="15" hidden="false" customHeight="false" outlineLevel="0" collapsed="false">
      <c r="A1099" s="1" t="s">
        <v>2025</v>
      </c>
      <c r="B1099" s="1" t="s">
        <v>1188</v>
      </c>
      <c r="C1099" s="1" t="s">
        <v>1189</v>
      </c>
      <c r="D1099" s="1" t="s">
        <v>1604</v>
      </c>
      <c r="E1099" s="1" t="s">
        <v>2023</v>
      </c>
      <c r="F1099" s="1" t="s">
        <v>2026</v>
      </c>
      <c r="G1099" s="8" t="s">
        <v>1607</v>
      </c>
      <c r="I1099" s="1" t="n">
        <v>2</v>
      </c>
    </row>
    <row r="1100" customFormat="false" ht="15" hidden="false" customHeight="false" outlineLevel="0" collapsed="false">
      <c r="A1100" s="1" t="s">
        <v>2025</v>
      </c>
      <c r="B1100" s="1" t="s">
        <v>1190</v>
      </c>
      <c r="C1100" s="1" t="s">
        <v>1191</v>
      </c>
      <c r="D1100" s="1" t="s">
        <v>1604</v>
      </c>
      <c r="E1100" s="1" t="s">
        <v>2023</v>
      </c>
      <c r="F1100" s="1" t="s">
        <v>2026</v>
      </c>
      <c r="G1100" s="8" t="s">
        <v>1607</v>
      </c>
      <c r="I1100" s="1" t="n">
        <v>1</v>
      </c>
    </row>
    <row r="1101" customFormat="false" ht="15" hidden="false" customHeight="false" outlineLevel="0" collapsed="false">
      <c r="A1101" s="1" t="s">
        <v>2025</v>
      </c>
      <c r="B1101" s="1" t="s">
        <v>1192</v>
      </c>
      <c r="C1101" s="1" t="s">
        <v>1193</v>
      </c>
      <c r="D1101" s="1" t="s">
        <v>1604</v>
      </c>
      <c r="E1101" s="1" t="s">
        <v>2023</v>
      </c>
      <c r="F1101" s="1" t="s">
        <v>2026</v>
      </c>
      <c r="G1101" s="8" t="s">
        <v>1607</v>
      </c>
      <c r="I1101" s="1" t="n">
        <v>5</v>
      </c>
    </row>
    <row r="1102" customFormat="false" ht="15" hidden="false" customHeight="false" outlineLevel="0" collapsed="false">
      <c r="A1102" s="1" t="s">
        <v>2025</v>
      </c>
      <c r="B1102" s="1" t="s">
        <v>1194</v>
      </c>
      <c r="C1102" s="1" t="s">
        <v>1195</v>
      </c>
      <c r="D1102" s="1" t="s">
        <v>1604</v>
      </c>
      <c r="E1102" s="1" t="s">
        <v>2023</v>
      </c>
      <c r="F1102" s="1" t="s">
        <v>2026</v>
      </c>
      <c r="G1102" s="8" t="s">
        <v>1607</v>
      </c>
      <c r="I1102" s="1" t="n">
        <v>0</v>
      </c>
    </row>
    <row r="1103" customFormat="false" ht="15" hidden="false" customHeight="false" outlineLevel="0" collapsed="false">
      <c r="A1103" s="1" t="s">
        <v>2025</v>
      </c>
      <c r="B1103" s="1" t="s">
        <v>1196</v>
      </c>
      <c r="C1103" s="1" t="s">
        <v>1197</v>
      </c>
      <c r="D1103" s="1" t="s">
        <v>1604</v>
      </c>
      <c r="E1103" s="1" t="s">
        <v>2023</v>
      </c>
      <c r="F1103" s="1" t="s">
        <v>2026</v>
      </c>
      <c r="G1103" s="8" t="s">
        <v>1607</v>
      </c>
      <c r="I1103" s="1" t="n">
        <v>0</v>
      </c>
    </row>
    <row r="1104" customFormat="false" ht="15" hidden="false" customHeight="false" outlineLevel="0" collapsed="false">
      <c r="A1104" s="1" t="s">
        <v>2025</v>
      </c>
      <c r="B1104" s="1" t="s">
        <v>1196</v>
      </c>
      <c r="C1104" s="1" t="s">
        <v>1765</v>
      </c>
      <c r="D1104" s="1" t="s">
        <v>1604</v>
      </c>
      <c r="E1104" s="1" t="s">
        <v>2023</v>
      </c>
      <c r="F1104" s="1" t="s">
        <v>2026</v>
      </c>
      <c r="G1104" s="8" t="s">
        <v>1607</v>
      </c>
      <c r="I1104" s="1" t="n">
        <v>0</v>
      </c>
    </row>
    <row r="1105" customFormat="false" ht="15" hidden="false" customHeight="false" outlineLevel="0" collapsed="false">
      <c r="A1105" s="1" t="s">
        <v>2025</v>
      </c>
      <c r="B1105" s="1" t="s">
        <v>1196</v>
      </c>
      <c r="C1105" s="1" t="s">
        <v>1766</v>
      </c>
      <c r="D1105" s="1" t="s">
        <v>1604</v>
      </c>
      <c r="E1105" s="1" t="s">
        <v>2023</v>
      </c>
      <c r="F1105" s="1" t="s">
        <v>2026</v>
      </c>
      <c r="G1105" s="8" t="s">
        <v>1607</v>
      </c>
      <c r="I1105" s="1" t="n">
        <v>0</v>
      </c>
    </row>
    <row r="1106" customFormat="false" ht="15" hidden="false" customHeight="false" outlineLevel="0" collapsed="false">
      <c r="A1106" s="1" t="s">
        <v>2025</v>
      </c>
      <c r="B1106" s="1" t="s">
        <v>1196</v>
      </c>
      <c r="C1106" s="1" t="s">
        <v>1767</v>
      </c>
      <c r="D1106" s="1" t="s">
        <v>1604</v>
      </c>
      <c r="E1106" s="1" t="s">
        <v>2023</v>
      </c>
      <c r="F1106" s="1" t="s">
        <v>2026</v>
      </c>
      <c r="G1106" s="8" t="s">
        <v>1607</v>
      </c>
      <c r="I1106" s="1" t="n">
        <v>0</v>
      </c>
    </row>
    <row r="1107" customFormat="false" ht="15" hidden="false" customHeight="false" outlineLevel="0" collapsed="false">
      <c r="A1107" s="1" t="s">
        <v>2025</v>
      </c>
      <c r="B1107" s="1" t="s">
        <v>1198</v>
      </c>
      <c r="C1107" s="1" t="s">
        <v>1199</v>
      </c>
      <c r="D1107" s="1" t="s">
        <v>1604</v>
      </c>
      <c r="E1107" s="1" t="s">
        <v>2023</v>
      </c>
      <c r="F1107" s="1" t="s">
        <v>2026</v>
      </c>
      <c r="G1107" s="8" t="s">
        <v>1607</v>
      </c>
      <c r="I1107" s="1" t="n">
        <v>0</v>
      </c>
    </row>
    <row r="1108" customFormat="false" ht="15" hidden="false" customHeight="false" outlineLevel="0" collapsed="false">
      <c r="A1108" s="1" t="s">
        <v>2025</v>
      </c>
      <c r="B1108" s="1" t="s">
        <v>1200</v>
      </c>
      <c r="C1108" s="1" t="s">
        <v>1201</v>
      </c>
      <c r="D1108" s="1" t="s">
        <v>1604</v>
      </c>
      <c r="E1108" s="1" t="s">
        <v>2023</v>
      </c>
      <c r="F1108" s="1" t="s">
        <v>2026</v>
      </c>
      <c r="G1108" s="8" t="s">
        <v>1607</v>
      </c>
      <c r="I1108" s="1" t="n">
        <v>1</v>
      </c>
    </row>
    <row r="1109" customFormat="false" ht="15" hidden="false" customHeight="false" outlineLevel="0" collapsed="false">
      <c r="A1109" s="1" t="s">
        <v>2025</v>
      </c>
      <c r="B1109" s="1" t="s">
        <v>1202</v>
      </c>
      <c r="C1109" s="1" t="s">
        <v>1203</v>
      </c>
      <c r="D1109" s="1" t="s">
        <v>1604</v>
      </c>
      <c r="E1109" s="1" t="s">
        <v>2023</v>
      </c>
      <c r="F1109" s="1" t="s">
        <v>2026</v>
      </c>
      <c r="G1109" s="8" t="s">
        <v>1607</v>
      </c>
      <c r="I1109" s="1" t="n">
        <v>2</v>
      </c>
    </row>
    <row r="1110" customFormat="false" ht="15" hidden="false" customHeight="false" outlineLevel="0" collapsed="false">
      <c r="A1110" s="1" t="s">
        <v>2025</v>
      </c>
      <c r="B1110" s="1" t="s">
        <v>1204</v>
      </c>
      <c r="C1110" s="1" t="s">
        <v>1205</v>
      </c>
      <c r="D1110" s="1" t="s">
        <v>1604</v>
      </c>
      <c r="E1110" s="1" t="s">
        <v>2023</v>
      </c>
      <c r="F1110" s="1" t="s">
        <v>2026</v>
      </c>
      <c r="G1110" s="8" t="s">
        <v>1607</v>
      </c>
      <c r="I1110" s="1" t="n">
        <v>3</v>
      </c>
    </row>
    <row r="1111" customFormat="false" ht="15" hidden="false" customHeight="false" outlineLevel="0" collapsed="false">
      <c r="A1111" s="1" t="s">
        <v>2025</v>
      </c>
      <c r="B1111" s="1" t="s">
        <v>969</v>
      </c>
      <c r="C1111" s="1" t="s">
        <v>970</v>
      </c>
      <c r="D1111" s="1" t="s">
        <v>1768</v>
      </c>
      <c r="E1111" s="1" t="s">
        <v>2023</v>
      </c>
      <c r="F1111" s="1" t="s">
        <v>2026</v>
      </c>
      <c r="G1111" s="8" t="s">
        <v>1607</v>
      </c>
      <c r="I1111" s="1" t="n">
        <v>114</v>
      </c>
    </row>
    <row r="1112" customFormat="false" ht="15" hidden="false" customHeight="false" outlineLevel="0" collapsed="false">
      <c r="A1112" s="1" t="s">
        <v>2025</v>
      </c>
      <c r="B1112" s="1" t="s">
        <v>972</v>
      </c>
      <c r="C1112" s="1" t="s">
        <v>973</v>
      </c>
      <c r="D1112" s="1" t="s">
        <v>1768</v>
      </c>
      <c r="E1112" s="1" t="s">
        <v>2023</v>
      </c>
      <c r="F1112" s="1" t="s">
        <v>2026</v>
      </c>
      <c r="G1112" s="8" t="s">
        <v>1607</v>
      </c>
      <c r="I1112" s="1" t="n">
        <v>22</v>
      </c>
    </row>
    <row r="1113" customFormat="false" ht="15" hidden="false" customHeight="false" outlineLevel="0" collapsed="false">
      <c r="A1113" s="1" t="s">
        <v>2025</v>
      </c>
      <c r="B1113" s="1" t="s">
        <v>974</v>
      </c>
      <c r="C1113" s="1" t="s">
        <v>975</v>
      </c>
      <c r="D1113" s="1" t="s">
        <v>1768</v>
      </c>
      <c r="E1113" s="1" t="s">
        <v>2023</v>
      </c>
      <c r="F1113" s="1" t="s">
        <v>2026</v>
      </c>
      <c r="G1113" s="8" t="s">
        <v>1607</v>
      </c>
      <c r="I1113" s="1" t="n">
        <v>34</v>
      </c>
    </row>
    <row r="1114" customFormat="false" ht="15" hidden="false" customHeight="false" outlineLevel="0" collapsed="false">
      <c r="A1114" s="1" t="s">
        <v>2025</v>
      </c>
      <c r="B1114" s="1" t="s">
        <v>976</v>
      </c>
      <c r="C1114" s="1" t="s">
        <v>977</v>
      </c>
      <c r="D1114" s="1" t="s">
        <v>1768</v>
      </c>
      <c r="E1114" s="1" t="s">
        <v>2023</v>
      </c>
      <c r="F1114" s="1" t="s">
        <v>2026</v>
      </c>
      <c r="G1114" s="8" t="s">
        <v>1607</v>
      </c>
      <c r="I1114" s="1" t="n">
        <v>28</v>
      </c>
    </row>
    <row r="1115" customFormat="false" ht="15" hidden="false" customHeight="false" outlineLevel="0" collapsed="false">
      <c r="A1115" s="1" t="s">
        <v>2025</v>
      </c>
      <c r="B1115" s="1" t="s">
        <v>978</v>
      </c>
      <c r="C1115" s="1" t="s">
        <v>979</v>
      </c>
      <c r="D1115" s="1" t="s">
        <v>1768</v>
      </c>
      <c r="E1115" s="1" t="s">
        <v>2023</v>
      </c>
      <c r="F1115" s="1" t="s">
        <v>2026</v>
      </c>
      <c r="G1115" s="8" t="s">
        <v>1607</v>
      </c>
      <c r="I1115" s="1" t="n">
        <v>189</v>
      </c>
    </row>
    <row r="1116" customFormat="false" ht="15" hidden="false" customHeight="false" outlineLevel="0" collapsed="false">
      <c r="A1116" s="1" t="s">
        <v>2025</v>
      </c>
      <c r="B1116" s="1" t="s">
        <v>980</v>
      </c>
      <c r="C1116" s="1" t="s">
        <v>981</v>
      </c>
      <c r="D1116" s="1" t="s">
        <v>1768</v>
      </c>
      <c r="E1116" s="1" t="s">
        <v>2023</v>
      </c>
      <c r="F1116" s="1" t="s">
        <v>2026</v>
      </c>
      <c r="G1116" s="8" t="s">
        <v>1607</v>
      </c>
      <c r="I1116" s="1" t="n">
        <v>110</v>
      </c>
    </row>
    <row r="1117" customFormat="false" ht="15" hidden="false" customHeight="false" outlineLevel="0" collapsed="false">
      <c r="A1117" s="1" t="s">
        <v>2025</v>
      </c>
      <c r="B1117" s="1" t="s">
        <v>982</v>
      </c>
      <c r="C1117" s="1" t="s">
        <v>983</v>
      </c>
      <c r="D1117" s="1" t="s">
        <v>1768</v>
      </c>
      <c r="E1117" s="1" t="s">
        <v>2023</v>
      </c>
      <c r="F1117" s="1" t="s">
        <v>2026</v>
      </c>
      <c r="G1117" s="8" t="s">
        <v>1607</v>
      </c>
      <c r="I1117" s="1" t="n">
        <v>31</v>
      </c>
    </row>
    <row r="1118" customFormat="false" ht="15" hidden="false" customHeight="false" outlineLevel="0" collapsed="false">
      <c r="A1118" s="1" t="s">
        <v>2025</v>
      </c>
      <c r="B1118" s="1" t="s">
        <v>984</v>
      </c>
      <c r="C1118" s="1" t="s">
        <v>985</v>
      </c>
      <c r="D1118" s="1" t="s">
        <v>1768</v>
      </c>
      <c r="E1118" s="1" t="s">
        <v>2023</v>
      </c>
      <c r="F1118" s="1" t="s">
        <v>2026</v>
      </c>
      <c r="G1118" s="8" t="s">
        <v>1607</v>
      </c>
      <c r="I1118" s="1" t="n">
        <v>38</v>
      </c>
    </row>
    <row r="1119" customFormat="false" ht="15" hidden="false" customHeight="false" outlineLevel="0" collapsed="false">
      <c r="A1119" s="1" t="s">
        <v>2025</v>
      </c>
      <c r="B1119" s="1" t="s">
        <v>986</v>
      </c>
      <c r="C1119" s="1" t="s">
        <v>987</v>
      </c>
      <c r="D1119" s="1" t="s">
        <v>1768</v>
      </c>
      <c r="E1119" s="1" t="s">
        <v>2023</v>
      </c>
      <c r="F1119" s="1" t="s">
        <v>2026</v>
      </c>
      <c r="G1119" s="8" t="s">
        <v>1607</v>
      </c>
      <c r="I1119" s="1" t="n">
        <v>18</v>
      </c>
    </row>
    <row r="1120" customFormat="false" ht="15" hidden="false" customHeight="false" outlineLevel="0" collapsed="false">
      <c r="A1120" s="1" t="s">
        <v>2025</v>
      </c>
      <c r="B1120" s="1" t="s">
        <v>988</v>
      </c>
      <c r="C1120" s="1" t="s">
        <v>989</v>
      </c>
      <c r="D1120" s="1" t="s">
        <v>1768</v>
      </c>
      <c r="E1120" s="1" t="s">
        <v>2023</v>
      </c>
      <c r="F1120" s="1" t="s">
        <v>2026</v>
      </c>
      <c r="G1120" s="8" t="s">
        <v>1607</v>
      </c>
      <c r="I1120" s="1" t="n">
        <v>17</v>
      </c>
    </row>
    <row r="1121" customFormat="false" ht="15" hidden="false" customHeight="false" outlineLevel="0" collapsed="false">
      <c r="A1121" s="1" t="s">
        <v>2025</v>
      </c>
      <c r="B1121" s="1" t="s">
        <v>990</v>
      </c>
      <c r="C1121" s="1" t="s">
        <v>991</v>
      </c>
      <c r="D1121" s="1" t="s">
        <v>1768</v>
      </c>
      <c r="E1121" s="1" t="s">
        <v>2023</v>
      </c>
      <c r="F1121" s="1" t="s">
        <v>2026</v>
      </c>
      <c r="G1121" s="8" t="s">
        <v>1607</v>
      </c>
      <c r="I1121" s="1" t="n">
        <v>11</v>
      </c>
    </row>
    <row r="1122" customFormat="false" ht="15" hidden="false" customHeight="false" outlineLevel="0" collapsed="false">
      <c r="A1122" s="1" t="s">
        <v>2025</v>
      </c>
      <c r="B1122" s="1" t="s">
        <v>1549</v>
      </c>
      <c r="C1122" s="1" t="s">
        <v>1550</v>
      </c>
      <c r="D1122" s="1" t="s">
        <v>1768</v>
      </c>
      <c r="E1122" s="1" t="s">
        <v>2023</v>
      </c>
      <c r="F1122" s="1" t="s">
        <v>2026</v>
      </c>
      <c r="G1122" s="8" t="s">
        <v>1607</v>
      </c>
      <c r="I1122" s="1" t="n">
        <v>233</v>
      </c>
    </row>
    <row r="1123" customFormat="false" ht="15" hidden="false" customHeight="false" outlineLevel="0" collapsed="false">
      <c r="A1123" s="1" t="s">
        <v>2025</v>
      </c>
      <c r="B1123" s="1" t="s">
        <v>1553</v>
      </c>
      <c r="C1123" s="1" t="s">
        <v>1554</v>
      </c>
      <c r="D1123" s="1" t="s">
        <v>1768</v>
      </c>
      <c r="E1123" s="1" t="s">
        <v>2023</v>
      </c>
      <c r="F1123" s="1" t="s">
        <v>2026</v>
      </c>
      <c r="G1123" s="8" t="s">
        <v>1607</v>
      </c>
      <c r="I1123" s="1" t="n">
        <v>87</v>
      </c>
    </row>
    <row r="1124" customFormat="false" ht="15" hidden="false" customHeight="false" outlineLevel="0" collapsed="false">
      <c r="A1124" s="1" t="s">
        <v>2025</v>
      </c>
      <c r="B1124" s="1" t="s">
        <v>1555</v>
      </c>
      <c r="C1124" s="1" t="s">
        <v>1556</v>
      </c>
      <c r="D1124" s="1" t="s">
        <v>1768</v>
      </c>
      <c r="E1124" s="1" t="s">
        <v>2023</v>
      </c>
      <c r="F1124" s="1" t="s">
        <v>2026</v>
      </c>
      <c r="G1124" s="8" t="s">
        <v>1607</v>
      </c>
      <c r="I1124" s="1" t="n">
        <v>61</v>
      </c>
    </row>
    <row r="1125" customFormat="false" ht="15" hidden="false" customHeight="false" outlineLevel="0" collapsed="false">
      <c r="A1125" s="1" t="s">
        <v>2025</v>
      </c>
      <c r="B1125" s="1" t="s">
        <v>1557</v>
      </c>
      <c r="C1125" s="1" t="s">
        <v>1558</v>
      </c>
      <c r="D1125" s="1" t="s">
        <v>1768</v>
      </c>
      <c r="E1125" s="1" t="s">
        <v>2023</v>
      </c>
      <c r="F1125" s="1" t="s">
        <v>2026</v>
      </c>
      <c r="G1125" s="8" t="s">
        <v>1607</v>
      </c>
      <c r="I1125" s="1" t="n">
        <v>171</v>
      </c>
    </row>
    <row r="1126" customFormat="false" ht="15" hidden="false" customHeight="false" outlineLevel="0" collapsed="false">
      <c r="A1126" s="1" t="s">
        <v>2025</v>
      </c>
      <c r="B1126" s="1" t="s">
        <v>1559</v>
      </c>
      <c r="C1126" s="1" t="s">
        <v>1560</v>
      </c>
      <c r="D1126" s="1" t="s">
        <v>1768</v>
      </c>
      <c r="E1126" s="1" t="s">
        <v>2023</v>
      </c>
      <c r="F1126" s="1" t="s">
        <v>2026</v>
      </c>
      <c r="G1126" s="8" t="s">
        <v>1607</v>
      </c>
      <c r="I1126" s="1" t="n">
        <v>34</v>
      </c>
    </row>
    <row r="1127" customFormat="false" ht="15" hidden="false" customHeight="false" outlineLevel="0" collapsed="false">
      <c r="A1127" s="1" t="s">
        <v>2025</v>
      </c>
      <c r="B1127" s="1" t="s">
        <v>1561</v>
      </c>
      <c r="C1127" s="1" t="s">
        <v>1562</v>
      </c>
      <c r="D1127" s="1" t="s">
        <v>1768</v>
      </c>
      <c r="E1127" s="1" t="s">
        <v>2023</v>
      </c>
      <c r="F1127" s="1" t="s">
        <v>2026</v>
      </c>
      <c r="G1127" s="8" t="s">
        <v>1607</v>
      </c>
      <c r="I1127" s="1" t="n">
        <v>180</v>
      </c>
    </row>
    <row r="1128" customFormat="false" ht="15" hidden="false" customHeight="false" outlineLevel="0" collapsed="false">
      <c r="A1128" s="1" t="s">
        <v>2025</v>
      </c>
      <c r="B1128" s="1" t="s">
        <v>728</v>
      </c>
      <c r="C1128" s="1" t="s">
        <v>729</v>
      </c>
      <c r="D1128" s="1" t="s">
        <v>1768</v>
      </c>
      <c r="E1128" s="1" t="s">
        <v>2023</v>
      </c>
      <c r="F1128" s="1" t="s">
        <v>2026</v>
      </c>
      <c r="G1128" s="8" t="s">
        <v>1607</v>
      </c>
      <c r="I1128" s="1" t="n">
        <v>251</v>
      </c>
    </row>
    <row r="1129" customFormat="false" ht="15" hidden="false" customHeight="false" outlineLevel="0" collapsed="false">
      <c r="A1129" s="1" t="s">
        <v>2025</v>
      </c>
      <c r="B1129" s="1" t="s">
        <v>732</v>
      </c>
      <c r="C1129" s="1" t="s">
        <v>733</v>
      </c>
      <c r="D1129" s="1" t="s">
        <v>1768</v>
      </c>
      <c r="E1129" s="1" t="s">
        <v>2023</v>
      </c>
      <c r="F1129" s="1" t="s">
        <v>2026</v>
      </c>
      <c r="G1129" s="8" t="s">
        <v>1607</v>
      </c>
      <c r="I1129" s="1" t="n">
        <v>55</v>
      </c>
    </row>
    <row r="1130" customFormat="false" ht="15" hidden="false" customHeight="false" outlineLevel="0" collapsed="false">
      <c r="A1130" s="1" t="s">
        <v>2025</v>
      </c>
      <c r="B1130" s="1" t="s">
        <v>734</v>
      </c>
      <c r="C1130" s="1" t="s">
        <v>735</v>
      </c>
      <c r="D1130" s="1" t="s">
        <v>1768</v>
      </c>
      <c r="E1130" s="1" t="s">
        <v>2023</v>
      </c>
      <c r="F1130" s="1" t="s">
        <v>2026</v>
      </c>
      <c r="G1130" s="8" t="s">
        <v>1607</v>
      </c>
      <c r="I1130" s="1" t="n">
        <v>827</v>
      </c>
    </row>
    <row r="1131" customFormat="false" ht="15" hidden="false" customHeight="false" outlineLevel="0" collapsed="false">
      <c r="A1131" s="1" t="s">
        <v>2025</v>
      </c>
      <c r="B1131" s="1" t="s">
        <v>736</v>
      </c>
      <c r="C1131" s="1" t="s">
        <v>737</v>
      </c>
      <c r="D1131" s="1" t="s">
        <v>1768</v>
      </c>
      <c r="E1131" s="1" t="s">
        <v>2023</v>
      </c>
      <c r="F1131" s="1" t="s">
        <v>2026</v>
      </c>
      <c r="G1131" s="8" t="s">
        <v>1607</v>
      </c>
      <c r="I1131" s="1" t="n">
        <v>569</v>
      </c>
    </row>
    <row r="1132" customFormat="false" ht="15" hidden="false" customHeight="false" outlineLevel="0" collapsed="false">
      <c r="A1132" s="1" t="s">
        <v>2025</v>
      </c>
      <c r="B1132" s="1" t="s">
        <v>738</v>
      </c>
      <c r="C1132" s="1" t="s">
        <v>739</v>
      </c>
      <c r="D1132" s="1" t="s">
        <v>1768</v>
      </c>
      <c r="E1132" s="1" t="s">
        <v>2023</v>
      </c>
      <c r="F1132" s="1" t="s">
        <v>2026</v>
      </c>
      <c r="G1132" s="8" t="s">
        <v>1607</v>
      </c>
      <c r="I1132" s="1" t="n">
        <v>545</v>
      </c>
    </row>
    <row r="1133" customFormat="false" ht="15" hidden="false" customHeight="false" outlineLevel="0" collapsed="false">
      <c r="A1133" s="1" t="s">
        <v>2025</v>
      </c>
      <c r="B1133" s="1" t="s">
        <v>740</v>
      </c>
      <c r="C1133" s="1" t="s">
        <v>741</v>
      </c>
      <c r="D1133" s="1" t="s">
        <v>1768</v>
      </c>
      <c r="E1133" s="1" t="s">
        <v>2023</v>
      </c>
      <c r="F1133" s="1" t="s">
        <v>2026</v>
      </c>
      <c r="G1133" s="8" t="s">
        <v>1607</v>
      </c>
      <c r="I1133" s="1" t="n">
        <v>577</v>
      </c>
    </row>
    <row r="1134" customFormat="false" ht="15" hidden="false" customHeight="false" outlineLevel="0" collapsed="false">
      <c r="A1134" s="1" t="s">
        <v>2025</v>
      </c>
      <c r="B1134" s="1" t="s">
        <v>740</v>
      </c>
      <c r="C1134" s="1" t="s">
        <v>1769</v>
      </c>
      <c r="D1134" s="1" t="s">
        <v>1768</v>
      </c>
      <c r="E1134" s="1" t="s">
        <v>2023</v>
      </c>
      <c r="F1134" s="1" t="s">
        <v>2026</v>
      </c>
      <c r="G1134" s="8" t="s">
        <v>1607</v>
      </c>
      <c r="I1134" s="1" t="n">
        <v>575</v>
      </c>
    </row>
    <row r="1135" customFormat="false" ht="15" hidden="false" customHeight="false" outlineLevel="0" collapsed="false">
      <c r="A1135" s="1" t="s">
        <v>2025</v>
      </c>
      <c r="B1135" s="1" t="s">
        <v>740</v>
      </c>
      <c r="C1135" s="1" t="s">
        <v>1770</v>
      </c>
      <c r="D1135" s="1" t="s">
        <v>1768</v>
      </c>
      <c r="E1135" s="1" t="s">
        <v>2023</v>
      </c>
      <c r="F1135" s="1" t="s">
        <v>2026</v>
      </c>
      <c r="G1135" s="8" t="s">
        <v>1607</v>
      </c>
      <c r="I1135" s="1" t="n">
        <v>499</v>
      </c>
    </row>
    <row r="1136" customFormat="false" ht="15" hidden="false" customHeight="false" outlineLevel="0" collapsed="false">
      <c r="A1136" s="1" t="s">
        <v>2025</v>
      </c>
      <c r="B1136" s="1" t="s">
        <v>740</v>
      </c>
      <c r="C1136" s="1" t="s">
        <v>1771</v>
      </c>
      <c r="D1136" s="1" t="s">
        <v>1768</v>
      </c>
      <c r="E1136" s="1" t="s">
        <v>2023</v>
      </c>
      <c r="F1136" s="1" t="s">
        <v>2026</v>
      </c>
      <c r="G1136" s="8" t="s">
        <v>1607</v>
      </c>
      <c r="I1136" s="1" t="n">
        <v>484</v>
      </c>
    </row>
    <row r="1137" customFormat="false" ht="15" hidden="false" customHeight="false" outlineLevel="0" collapsed="false">
      <c r="A1137" s="1" t="s">
        <v>2025</v>
      </c>
      <c r="B1137" s="1" t="s">
        <v>740</v>
      </c>
      <c r="C1137" s="1" t="s">
        <v>1772</v>
      </c>
      <c r="D1137" s="1" t="s">
        <v>1768</v>
      </c>
      <c r="E1137" s="1" t="s">
        <v>2023</v>
      </c>
      <c r="F1137" s="1" t="s">
        <v>2026</v>
      </c>
      <c r="G1137" s="8" t="s">
        <v>1607</v>
      </c>
      <c r="I1137" s="1" t="n">
        <v>534</v>
      </c>
    </row>
    <row r="1138" customFormat="false" ht="15" hidden="false" customHeight="false" outlineLevel="0" collapsed="false">
      <c r="A1138" s="1" t="s">
        <v>2025</v>
      </c>
      <c r="B1138" s="1" t="s">
        <v>742</v>
      </c>
      <c r="C1138" s="1" t="s">
        <v>743</v>
      </c>
      <c r="D1138" s="1" t="s">
        <v>1768</v>
      </c>
      <c r="E1138" s="1" t="s">
        <v>2023</v>
      </c>
      <c r="F1138" s="1" t="s">
        <v>2026</v>
      </c>
      <c r="G1138" s="8" t="s">
        <v>1607</v>
      </c>
      <c r="I1138" s="1" t="n">
        <v>515</v>
      </c>
    </row>
    <row r="1139" customFormat="false" ht="15" hidden="false" customHeight="false" outlineLevel="0" collapsed="false">
      <c r="A1139" s="1" t="s">
        <v>2025</v>
      </c>
      <c r="B1139" s="1" t="s">
        <v>744</v>
      </c>
      <c r="C1139" s="1" t="s">
        <v>745</v>
      </c>
      <c r="D1139" s="1" t="s">
        <v>1768</v>
      </c>
      <c r="E1139" s="1" t="s">
        <v>2023</v>
      </c>
      <c r="F1139" s="1" t="s">
        <v>2026</v>
      </c>
      <c r="G1139" s="8" t="s">
        <v>1607</v>
      </c>
      <c r="I1139" s="1" t="n">
        <v>578</v>
      </c>
    </row>
    <row r="1140" customFormat="false" ht="15" hidden="false" customHeight="false" outlineLevel="0" collapsed="false">
      <c r="A1140" s="1" t="s">
        <v>2025</v>
      </c>
      <c r="B1140" s="1" t="s">
        <v>746</v>
      </c>
      <c r="C1140" s="1" t="s">
        <v>747</v>
      </c>
      <c r="D1140" s="1" t="s">
        <v>1768</v>
      </c>
      <c r="E1140" s="1" t="s">
        <v>2023</v>
      </c>
      <c r="F1140" s="1" t="s">
        <v>2026</v>
      </c>
      <c r="G1140" s="8" t="s">
        <v>1607</v>
      </c>
      <c r="I1140" s="1" t="n">
        <v>641</v>
      </c>
    </row>
    <row r="1141" customFormat="false" ht="15" hidden="false" customHeight="false" outlineLevel="0" collapsed="false">
      <c r="A1141" s="1" t="s">
        <v>2025</v>
      </c>
      <c r="B1141" s="1" t="s">
        <v>748</v>
      </c>
      <c r="C1141" s="1" t="s">
        <v>749</v>
      </c>
      <c r="D1141" s="1" t="s">
        <v>1768</v>
      </c>
      <c r="E1141" s="1" t="s">
        <v>2023</v>
      </c>
      <c r="F1141" s="1" t="s">
        <v>2026</v>
      </c>
      <c r="G1141" s="8" t="s">
        <v>1607</v>
      </c>
      <c r="I1141" s="1" t="n">
        <v>667</v>
      </c>
    </row>
    <row r="1142" customFormat="false" ht="15" hidden="false" customHeight="false" outlineLevel="0" collapsed="false">
      <c r="A1142" s="1" t="s">
        <v>2025</v>
      </c>
      <c r="B1142" s="1" t="s">
        <v>1411</v>
      </c>
      <c r="C1142" s="1" t="s">
        <v>1412</v>
      </c>
      <c r="D1142" s="1" t="s">
        <v>1768</v>
      </c>
      <c r="E1142" s="1" t="s">
        <v>2023</v>
      </c>
      <c r="F1142" s="1" t="s">
        <v>2026</v>
      </c>
      <c r="G1142" s="8" t="s">
        <v>1607</v>
      </c>
      <c r="I1142" s="1" t="n">
        <v>150</v>
      </c>
    </row>
    <row r="1143" customFormat="false" ht="15" hidden="false" customHeight="false" outlineLevel="0" collapsed="false">
      <c r="A1143" s="1" t="s">
        <v>2025</v>
      </c>
      <c r="B1143" s="1" t="s">
        <v>1414</v>
      </c>
      <c r="C1143" s="1" t="s">
        <v>1415</v>
      </c>
      <c r="D1143" s="1" t="s">
        <v>1768</v>
      </c>
      <c r="E1143" s="1" t="s">
        <v>2023</v>
      </c>
      <c r="F1143" s="1" t="s">
        <v>2026</v>
      </c>
      <c r="G1143" s="8" t="s">
        <v>1607</v>
      </c>
      <c r="I1143" s="1" t="n">
        <v>10</v>
      </c>
    </row>
    <row r="1144" customFormat="false" ht="15" hidden="false" customHeight="false" outlineLevel="0" collapsed="false">
      <c r="A1144" s="1" t="s">
        <v>2025</v>
      </c>
      <c r="B1144" s="1" t="s">
        <v>1416</v>
      </c>
      <c r="C1144" s="1" t="s">
        <v>1417</v>
      </c>
      <c r="D1144" s="1" t="s">
        <v>1768</v>
      </c>
      <c r="E1144" s="1" t="s">
        <v>2023</v>
      </c>
      <c r="F1144" s="1" t="s">
        <v>2026</v>
      </c>
      <c r="G1144" s="8" t="s">
        <v>1607</v>
      </c>
      <c r="I1144" s="1" t="n">
        <v>19</v>
      </c>
    </row>
    <row r="1145" customFormat="false" ht="15" hidden="false" customHeight="false" outlineLevel="0" collapsed="false">
      <c r="A1145" s="1" t="s">
        <v>2025</v>
      </c>
      <c r="B1145" s="1" t="s">
        <v>1418</v>
      </c>
      <c r="C1145" s="1" t="s">
        <v>1419</v>
      </c>
      <c r="D1145" s="1" t="s">
        <v>1768</v>
      </c>
      <c r="E1145" s="1" t="s">
        <v>2023</v>
      </c>
      <c r="F1145" s="1" t="s">
        <v>2026</v>
      </c>
      <c r="G1145" s="8" t="s">
        <v>1607</v>
      </c>
      <c r="I1145" s="1" t="n">
        <v>6</v>
      </c>
    </row>
    <row r="1146" customFormat="false" ht="15" hidden="false" customHeight="false" outlineLevel="0" collapsed="false">
      <c r="A1146" s="1" t="s">
        <v>2025</v>
      </c>
      <c r="B1146" s="1" t="s">
        <v>1420</v>
      </c>
      <c r="C1146" s="1" t="s">
        <v>1421</v>
      </c>
      <c r="D1146" s="1" t="s">
        <v>1768</v>
      </c>
      <c r="E1146" s="1" t="s">
        <v>2023</v>
      </c>
      <c r="F1146" s="1" t="s">
        <v>2026</v>
      </c>
      <c r="G1146" s="8" t="s">
        <v>1607</v>
      </c>
      <c r="I1146" s="1" t="n">
        <v>7</v>
      </c>
    </row>
    <row r="1147" customFormat="false" ht="15" hidden="false" customHeight="false" outlineLevel="0" collapsed="false">
      <c r="A1147" s="1" t="s">
        <v>2025</v>
      </c>
      <c r="B1147" s="1" t="s">
        <v>1563</v>
      </c>
      <c r="C1147" s="1" t="s">
        <v>1564</v>
      </c>
      <c r="D1147" s="1" t="s">
        <v>1768</v>
      </c>
      <c r="E1147" s="1" t="s">
        <v>2023</v>
      </c>
      <c r="F1147" s="1" t="s">
        <v>2026</v>
      </c>
      <c r="G1147" s="8" t="s">
        <v>1607</v>
      </c>
      <c r="I1147" s="1" t="n">
        <v>203</v>
      </c>
    </row>
    <row r="1148" customFormat="false" ht="15" hidden="false" customHeight="false" outlineLevel="0" collapsed="false">
      <c r="A1148" s="1" t="s">
        <v>2025</v>
      </c>
      <c r="B1148" s="1" t="s">
        <v>1566</v>
      </c>
      <c r="C1148" s="1" t="s">
        <v>1567</v>
      </c>
      <c r="D1148" s="1" t="s">
        <v>1768</v>
      </c>
      <c r="E1148" s="1" t="s">
        <v>2023</v>
      </c>
      <c r="F1148" s="1" t="s">
        <v>2026</v>
      </c>
      <c r="G1148" s="8" t="s">
        <v>1607</v>
      </c>
      <c r="I1148" s="1" t="n">
        <v>54</v>
      </c>
    </row>
    <row r="1149" customFormat="false" ht="15" hidden="false" customHeight="false" outlineLevel="0" collapsed="false">
      <c r="A1149" s="1" t="s">
        <v>2025</v>
      </c>
      <c r="B1149" s="1" t="s">
        <v>1568</v>
      </c>
      <c r="C1149" s="1" t="s">
        <v>1569</v>
      </c>
      <c r="D1149" s="1" t="s">
        <v>1768</v>
      </c>
      <c r="E1149" s="1" t="s">
        <v>2023</v>
      </c>
      <c r="F1149" s="1" t="s">
        <v>2026</v>
      </c>
      <c r="G1149" s="8" t="s">
        <v>1607</v>
      </c>
      <c r="I1149" s="1" t="n">
        <v>23</v>
      </c>
    </row>
    <row r="1150" customFormat="false" ht="15" hidden="false" customHeight="false" outlineLevel="0" collapsed="false">
      <c r="A1150" s="1" t="s">
        <v>2025</v>
      </c>
      <c r="B1150" s="1" t="s">
        <v>1570</v>
      </c>
      <c r="C1150" s="1" t="s">
        <v>1571</v>
      </c>
      <c r="D1150" s="1" t="s">
        <v>1768</v>
      </c>
      <c r="E1150" s="1" t="s">
        <v>2023</v>
      </c>
      <c r="F1150" s="1" t="s">
        <v>2026</v>
      </c>
      <c r="G1150" s="8" t="s">
        <v>1607</v>
      </c>
      <c r="I1150" s="1" t="n">
        <v>224</v>
      </c>
    </row>
    <row r="1151" customFormat="false" ht="15" hidden="false" customHeight="false" outlineLevel="0" collapsed="false">
      <c r="A1151" s="1" t="s">
        <v>2025</v>
      </c>
      <c r="B1151" s="1" t="s">
        <v>1572</v>
      </c>
      <c r="C1151" s="1" t="s">
        <v>1573</v>
      </c>
      <c r="D1151" s="1" t="s">
        <v>1768</v>
      </c>
      <c r="E1151" s="1" t="s">
        <v>2023</v>
      </c>
      <c r="F1151" s="1" t="s">
        <v>2026</v>
      </c>
      <c r="G1151" s="8" t="s">
        <v>1607</v>
      </c>
      <c r="I1151" s="1" t="n">
        <v>647</v>
      </c>
    </row>
    <row r="1152" customFormat="false" ht="15" hidden="false" customHeight="false" outlineLevel="0" collapsed="false">
      <c r="A1152" s="1" t="s">
        <v>2025</v>
      </c>
      <c r="B1152" s="1" t="s">
        <v>1574</v>
      </c>
      <c r="C1152" s="1" t="s">
        <v>1575</v>
      </c>
      <c r="D1152" s="1" t="s">
        <v>1768</v>
      </c>
      <c r="E1152" s="1" t="s">
        <v>2023</v>
      </c>
      <c r="F1152" s="1" t="s">
        <v>2026</v>
      </c>
      <c r="G1152" s="8" t="s">
        <v>1607</v>
      </c>
      <c r="I1152" s="1" t="n">
        <v>110</v>
      </c>
    </row>
    <row r="1153" customFormat="false" ht="15" hidden="false" customHeight="false" outlineLevel="0" collapsed="false">
      <c r="A1153" s="1" t="s">
        <v>2025</v>
      </c>
      <c r="B1153" s="1" t="s">
        <v>1576</v>
      </c>
      <c r="C1153" s="1" t="s">
        <v>1577</v>
      </c>
      <c r="D1153" s="1" t="s">
        <v>1768</v>
      </c>
      <c r="E1153" s="1" t="s">
        <v>2023</v>
      </c>
      <c r="F1153" s="1" t="s">
        <v>2026</v>
      </c>
      <c r="G1153" s="8" t="s">
        <v>1607</v>
      </c>
      <c r="I1153" s="1" t="n">
        <v>84</v>
      </c>
    </row>
    <row r="1154" customFormat="false" ht="15" hidden="false" customHeight="false" outlineLevel="0" collapsed="false">
      <c r="A1154" s="1" t="s">
        <v>2025</v>
      </c>
      <c r="B1154" s="1" t="s">
        <v>1579</v>
      </c>
      <c r="C1154" s="1" t="s">
        <v>1580</v>
      </c>
      <c r="D1154" s="1" t="s">
        <v>1768</v>
      </c>
      <c r="E1154" s="1" t="s">
        <v>2023</v>
      </c>
      <c r="F1154" s="1" t="s">
        <v>2026</v>
      </c>
      <c r="G1154" s="8" t="s">
        <v>1607</v>
      </c>
      <c r="I1154" s="1" t="n">
        <v>19</v>
      </c>
    </row>
    <row r="1155" customFormat="false" ht="15" hidden="false" customHeight="false" outlineLevel="0" collapsed="false">
      <c r="A1155" s="1" t="s">
        <v>2025</v>
      </c>
      <c r="B1155" s="1" t="s">
        <v>1581</v>
      </c>
      <c r="C1155" s="1" t="s">
        <v>1582</v>
      </c>
      <c r="D1155" s="1" t="s">
        <v>1768</v>
      </c>
      <c r="E1155" s="1" t="s">
        <v>2023</v>
      </c>
      <c r="F1155" s="1" t="s">
        <v>2026</v>
      </c>
      <c r="G1155" s="8" t="s">
        <v>1607</v>
      </c>
      <c r="I1155" s="1" t="n">
        <v>50</v>
      </c>
    </row>
    <row r="1156" customFormat="false" ht="15" hidden="false" customHeight="false" outlineLevel="0" collapsed="false">
      <c r="A1156" s="1" t="s">
        <v>2025</v>
      </c>
      <c r="B1156" s="1" t="s">
        <v>1583</v>
      </c>
      <c r="C1156" s="1" t="s">
        <v>1584</v>
      </c>
      <c r="D1156" s="1" t="s">
        <v>1768</v>
      </c>
      <c r="E1156" s="1" t="s">
        <v>2023</v>
      </c>
      <c r="F1156" s="1" t="s">
        <v>2026</v>
      </c>
      <c r="G1156" s="8" t="s">
        <v>1607</v>
      </c>
      <c r="I1156" s="1" t="n">
        <v>252</v>
      </c>
    </row>
    <row r="1157" customFormat="false" ht="15" hidden="false" customHeight="false" outlineLevel="0" collapsed="false">
      <c r="A1157" s="1" t="s">
        <v>2025</v>
      </c>
      <c r="B1157" s="1" t="s">
        <v>1585</v>
      </c>
      <c r="C1157" s="1" t="s">
        <v>1586</v>
      </c>
      <c r="D1157" s="1" t="s">
        <v>1768</v>
      </c>
      <c r="E1157" s="1" t="s">
        <v>2023</v>
      </c>
      <c r="F1157" s="1" t="s">
        <v>2026</v>
      </c>
      <c r="G1157" s="8" t="s">
        <v>1607</v>
      </c>
      <c r="I1157" s="1" t="n">
        <v>164</v>
      </c>
    </row>
    <row r="1158" customFormat="false" ht="15" hidden="false" customHeight="false" outlineLevel="0" collapsed="false">
      <c r="A1158" s="1" t="s">
        <v>2025</v>
      </c>
      <c r="B1158" s="1" t="s">
        <v>1587</v>
      </c>
      <c r="C1158" s="1" t="s">
        <v>1588</v>
      </c>
      <c r="D1158" s="1" t="s">
        <v>1768</v>
      </c>
      <c r="E1158" s="1" t="s">
        <v>2023</v>
      </c>
      <c r="F1158" s="1" t="s">
        <v>2026</v>
      </c>
      <c r="G1158" s="8" t="s">
        <v>1607</v>
      </c>
      <c r="I1158" s="1" t="n">
        <v>36</v>
      </c>
    </row>
    <row r="1159" customFormat="false" ht="15" hidden="false" customHeight="false" outlineLevel="0" collapsed="false">
      <c r="A1159" s="1" t="s">
        <v>2025</v>
      </c>
      <c r="B1159" s="1" t="s">
        <v>1589</v>
      </c>
      <c r="C1159" s="1" t="s">
        <v>1590</v>
      </c>
      <c r="D1159" s="1" t="s">
        <v>1768</v>
      </c>
      <c r="E1159" s="1" t="s">
        <v>2023</v>
      </c>
      <c r="F1159" s="1" t="s">
        <v>2026</v>
      </c>
      <c r="G1159" s="8" t="s">
        <v>1607</v>
      </c>
      <c r="I1159" s="1" t="n">
        <v>133</v>
      </c>
    </row>
    <row r="1160" customFormat="false" ht="15" hidden="false" customHeight="false" outlineLevel="0" collapsed="false">
      <c r="A1160" s="1" t="s">
        <v>2025</v>
      </c>
      <c r="B1160" s="1" t="s">
        <v>1591</v>
      </c>
      <c r="C1160" s="1" t="s">
        <v>1592</v>
      </c>
      <c r="D1160" s="1" t="s">
        <v>1768</v>
      </c>
      <c r="E1160" s="1" t="s">
        <v>2023</v>
      </c>
      <c r="F1160" s="1" t="s">
        <v>2026</v>
      </c>
      <c r="G1160" s="8" t="s">
        <v>1607</v>
      </c>
      <c r="I1160" s="1" t="n">
        <v>92</v>
      </c>
    </row>
    <row r="1161" customFormat="false" ht="15" hidden="false" customHeight="false" outlineLevel="0" collapsed="false">
      <c r="A1161" s="1" t="s">
        <v>2025</v>
      </c>
      <c r="B1161" s="1" t="s">
        <v>1593</v>
      </c>
      <c r="C1161" s="1" t="s">
        <v>1594</v>
      </c>
      <c r="D1161" s="1" t="s">
        <v>1768</v>
      </c>
      <c r="E1161" s="1" t="s">
        <v>2023</v>
      </c>
      <c r="F1161" s="1" t="s">
        <v>2026</v>
      </c>
      <c r="G1161" s="8" t="s">
        <v>1607</v>
      </c>
      <c r="I1161" s="1" t="n">
        <v>111</v>
      </c>
    </row>
    <row r="1162" customFormat="false" ht="15" hidden="false" customHeight="false" outlineLevel="0" collapsed="false">
      <c r="A1162" s="1" t="s">
        <v>2025</v>
      </c>
      <c r="B1162" s="1" t="s">
        <v>750</v>
      </c>
      <c r="C1162" s="1" t="s">
        <v>751</v>
      </c>
      <c r="D1162" s="1" t="s">
        <v>1768</v>
      </c>
      <c r="E1162" s="1" t="s">
        <v>2023</v>
      </c>
      <c r="F1162" s="1" t="s">
        <v>2026</v>
      </c>
      <c r="G1162" s="8" t="s">
        <v>1607</v>
      </c>
      <c r="I1162" s="1" t="n">
        <v>263</v>
      </c>
    </row>
    <row r="1163" customFormat="false" ht="15" hidden="false" customHeight="false" outlineLevel="0" collapsed="false">
      <c r="A1163" s="1" t="s">
        <v>2025</v>
      </c>
      <c r="B1163" s="1" t="s">
        <v>753</v>
      </c>
      <c r="C1163" s="1" t="s">
        <v>754</v>
      </c>
      <c r="D1163" s="1" t="s">
        <v>1768</v>
      </c>
      <c r="E1163" s="1" t="s">
        <v>2023</v>
      </c>
      <c r="F1163" s="1" t="s">
        <v>2026</v>
      </c>
      <c r="G1163" s="8" t="s">
        <v>1607</v>
      </c>
      <c r="I1163" s="1" t="n">
        <v>59</v>
      </c>
    </row>
    <row r="1164" customFormat="false" ht="15" hidden="false" customHeight="false" outlineLevel="0" collapsed="false">
      <c r="A1164" s="1" t="s">
        <v>2025</v>
      </c>
      <c r="B1164" s="1" t="s">
        <v>755</v>
      </c>
      <c r="C1164" s="1" t="s">
        <v>756</v>
      </c>
      <c r="D1164" s="1" t="s">
        <v>1768</v>
      </c>
      <c r="E1164" s="1" t="s">
        <v>2023</v>
      </c>
      <c r="F1164" s="1" t="s">
        <v>2026</v>
      </c>
      <c r="G1164" s="8" t="s">
        <v>1607</v>
      </c>
      <c r="I1164" s="1" t="n">
        <v>146</v>
      </c>
    </row>
    <row r="1165" customFormat="false" ht="15" hidden="false" customHeight="false" outlineLevel="0" collapsed="false">
      <c r="A1165" s="1" t="s">
        <v>2025</v>
      </c>
      <c r="B1165" s="1" t="s">
        <v>757</v>
      </c>
      <c r="C1165" s="1" t="s">
        <v>758</v>
      </c>
      <c r="D1165" s="1" t="s">
        <v>1768</v>
      </c>
      <c r="E1165" s="1" t="s">
        <v>2023</v>
      </c>
      <c r="F1165" s="1" t="s">
        <v>2026</v>
      </c>
      <c r="G1165" s="8" t="s">
        <v>1607</v>
      </c>
      <c r="I1165" s="1" t="n">
        <v>844</v>
      </c>
    </row>
    <row r="1166" customFormat="false" ht="15" hidden="false" customHeight="false" outlineLevel="0" collapsed="false">
      <c r="A1166" s="1" t="s">
        <v>2025</v>
      </c>
      <c r="B1166" s="1" t="s">
        <v>757</v>
      </c>
      <c r="C1166" s="1" t="s">
        <v>1773</v>
      </c>
      <c r="D1166" s="1" t="s">
        <v>1768</v>
      </c>
      <c r="E1166" s="1" t="s">
        <v>2023</v>
      </c>
      <c r="F1166" s="1" t="s">
        <v>2026</v>
      </c>
      <c r="G1166" s="8" t="s">
        <v>1607</v>
      </c>
      <c r="I1166" s="1" t="n">
        <v>637</v>
      </c>
    </row>
    <row r="1167" customFormat="false" ht="15" hidden="false" customHeight="false" outlineLevel="0" collapsed="false">
      <c r="A1167" s="1" t="s">
        <v>2025</v>
      </c>
      <c r="B1167" s="1" t="s">
        <v>757</v>
      </c>
      <c r="C1167" s="1" t="s">
        <v>1774</v>
      </c>
      <c r="D1167" s="1" t="s">
        <v>1768</v>
      </c>
      <c r="E1167" s="1" t="s">
        <v>2023</v>
      </c>
      <c r="F1167" s="1" t="s">
        <v>2026</v>
      </c>
      <c r="G1167" s="8" t="s">
        <v>1607</v>
      </c>
      <c r="I1167" s="1" t="n">
        <v>428</v>
      </c>
    </row>
    <row r="1168" customFormat="false" ht="15" hidden="false" customHeight="false" outlineLevel="0" collapsed="false">
      <c r="A1168" s="1" t="s">
        <v>2025</v>
      </c>
      <c r="B1168" s="1" t="s">
        <v>759</v>
      </c>
      <c r="C1168" s="1" t="s">
        <v>760</v>
      </c>
      <c r="D1168" s="1" t="s">
        <v>1768</v>
      </c>
      <c r="E1168" s="1" t="s">
        <v>2023</v>
      </c>
      <c r="F1168" s="1" t="s">
        <v>2026</v>
      </c>
      <c r="G1168" s="8" t="s">
        <v>1607</v>
      </c>
      <c r="I1168" s="1" t="n">
        <v>684</v>
      </c>
    </row>
    <row r="1169" customFormat="false" ht="15" hidden="false" customHeight="false" outlineLevel="0" collapsed="false">
      <c r="A1169" s="1" t="s">
        <v>2025</v>
      </c>
      <c r="B1169" s="1" t="s">
        <v>761</v>
      </c>
      <c r="C1169" s="1" t="s">
        <v>762</v>
      </c>
      <c r="D1169" s="1" t="s">
        <v>1768</v>
      </c>
      <c r="E1169" s="1" t="s">
        <v>2023</v>
      </c>
      <c r="F1169" s="1" t="s">
        <v>2026</v>
      </c>
      <c r="G1169" s="8" t="s">
        <v>1607</v>
      </c>
      <c r="I1169" s="1" t="n">
        <v>642</v>
      </c>
    </row>
    <row r="1170" customFormat="false" ht="15" hidden="false" customHeight="false" outlineLevel="0" collapsed="false">
      <c r="A1170" s="1" t="s">
        <v>2025</v>
      </c>
      <c r="B1170" s="1" t="s">
        <v>763</v>
      </c>
      <c r="C1170" s="1" t="s">
        <v>764</v>
      </c>
      <c r="D1170" s="1" t="s">
        <v>1768</v>
      </c>
      <c r="E1170" s="1" t="s">
        <v>2023</v>
      </c>
      <c r="F1170" s="1" t="s">
        <v>2026</v>
      </c>
      <c r="G1170" s="8" t="s">
        <v>1607</v>
      </c>
      <c r="I1170" s="1" t="n">
        <v>2309</v>
      </c>
    </row>
    <row r="1171" customFormat="false" ht="15" hidden="false" customHeight="false" outlineLevel="0" collapsed="false">
      <c r="A1171" s="1" t="s">
        <v>2025</v>
      </c>
      <c r="B1171" s="1" t="s">
        <v>765</v>
      </c>
      <c r="C1171" s="1" t="s">
        <v>766</v>
      </c>
      <c r="D1171" s="1" t="s">
        <v>1768</v>
      </c>
      <c r="E1171" s="1" t="s">
        <v>2023</v>
      </c>
      <c r="F1171" s="1" t="s">
        <v>2026</v>
      </c>
      <c r="G1171" s="8" t="s">
        <v>1607</v>
      </c>
      <c r="I1171" s="1" t="n">
        <v>2542</v>
      </c>
    </row>
    <row r="1172" customFormat="false" ht="15" hidden="false" customHeight="false" outlineLevel="0" collapsed="false">
      <c r="A1172" s="1" t="s">
        <v>2025</v>
      </c>
      <c r="B1172" s="1" t="s">
        <v>767</v>
      </c>
      <c r="C1172" s="1" t="s">
        <v>768</v>
      </c>
      <c r="D1172" s="1" t="s">
        <v>1768</v>
      </c>
      <c r="E1172" s="1" t="s">
        <v>2023</v>
      </c>
      <c r="F1172" s="1" t="s">
        <v>2026</v>
      </c>
      <c r="G1172" s="8" t="s">
        <v>1607</v>
      </c>
      <c r="I1172" s="1" t="n">
        <v>935</v>
      </c>
    </row>
    <row r="1173" customFormat="false" ht="15" hidden="false" customHeight="false" outlineLevel="0" collapsed="false">
      <c r="A1173" s="1" t="s">
        <v>2025</v>
      </c>
      <c r="B1173" s="1" t="s">
        <v>769</v>
      </c>
      <c r="C1173" s="1" t="s">
        <v>770</v>
      </c>
      <c r="D1173" s="1" t="s">
        <v>1768</v>
      </c>
      <c r="E1173" s="1" t="s">
        <v>2023</v>
      </c>
      <c r="F1173" s="1" t="s">
        <v>2026</v>
      </c>
      <c r="G1173" s="8" t="s">
        <v>1607</v>
      </c>
      <c r="I1173" s="1" t="n">
        <v>676</v>
      </c>
    </row>
    <row r="1174" customFormat="false" ht="15" hidden="false" customHeight="false" outlineLevel="0" collapsed="false">
      <c r="A1174" s="1" t="s">
        <v>2025</v>
      </c>
      <c r="B1174" s="1" t="s">
        <v>771</v>
      </c>
      <c r="C1174" s="1" t="s">
        <v>1775</v>
      </c>
      <c r="D1174" s="1" t="s">
        <v>1768</v>
      </c>
      <c r="E1174" s="1" t="s">
        <v>2023</v>
      </c>
      <c r="F1174" s="1" t="s">
        <v>2026</v>
      </c>
      <c r="G1174" s="8" t="s">
        <v>1607</v>
      </c>
      <c r="I1174" s="1" t="n">
        <v>814</v>
      </c>
    </row>
    <row r="1175" customFormat="false" ht="15" hidden="false" customHeight="false" outlineLevel="0" collapsed="false">
      <c r="A1175" s="1" t="s">
        <v>2025</v>
      </c>
      <c r="B1175" s="1" t="s">
        <v>773</v>
      </c>
      <c r="C1175" s="1" t="s">
        <v>774</v>
      </c>
      <c r="D1175" s="1" t="s">
        <v>1768</v>
      </c>
      <c r="E1175" s="1" t="s">
        <v>2023</v>
      </c>
      <c r="F1175" s="1" t="s">
        <v>2026</v>
      </c>
      <c r="G1175" s="8" t="s">
        <v>1607</v>
      </c>
      <c r="I1175" s="1" t="n">
        <v>731</v>
      </c>
    </row>
    <row r="1176" customFormat="false" ht="15" hidden="false" customHeight="false" outlineLevel="0" collapsed="false">
      <c r="A1176" s="1" t="s">
        <v>2025</v>
      </c>
      <c r="B1176" s="1" t="s">
        <v>775</v>
      </c>
      <c r="C1176" s="1" t="s">
        <v>776</v>
      </c>
      <c r="D1176" s="1" t="s">
        <v>1768</v>
      </c>
      <c r="E1176" s="1" t="s">
        <v>2023</v>
      </c>
      <c r="F1176" s="1" t="s">
        <v>2026</v>
      </c>
      <c r="G1176" s="8" t="s">
        <v>1607</v>
      </c>
      <c r="I1176" s="1" t="n">
        <v>802</v>
      </c>
    </row>
    <row r="1177" customFormat="false" ht="15" hidden="false" customHeight="false" outlineLevel="0" collapsed="false">
      <c r="A1177" s="1" t="s">
        <v>2025</v>
      </c>
      <c r="B1177" s="1" t="s">
        <v>777</v>
      </c>
      <c r="C1177" s="1" t="s">
        <v>778</v>
      </c>
      <c r="D1177" s="1" t="s">
        <v>1768</v>
      </c>
      <c r="E1177" s="1" t="s">
        <v>2023</v>
      </c>
      <c r="F1177" s="1" t="s">
        <v>2026</v>
      </c>
      <c r="G1177" s="8" t="s">
        <v>1607</v>
      </c>
      <c r="I1177" s="1" t="n">
        <v>805</v>
      </c>
    </row>
    <row r="1178" customFormat="false" ht="15" hidden="false" customHeight="false" outlineLevel="0" collapsed="false">
      <c r="A1178" s="1" t="s">
        <v>2025</v>
      </c>
      <c r="B1178" s="1" t="s">
        <v>779</v>
      </c>
      <c r="C1178" s="1" t="s">
        <v>780</v>
      </c>
      <c r="D1178" s="1" t="s">
        <v>1768</v>
      </c>
      <c r="E1178" s="1" t="s">
        <v>2023</v>
      </c>
      <c r="F1178" s="1" t="s">
        <v>2026</v>
      </c>
      <c r="G1178" s="8" t="s">
        <v>1632</v>
      </c>
      <c r="H1178" s="1" t="s">
        <v>663</v>
      </c>
      <c r="I1178" s="1" t="n">
        <v>713</v>
      </c>
    </row>
    <row r="1179" customFormat="false" ht="15" hidden="false" customHeight="false" outlineLevel="0" collapsed="false">
      <c r="A1179" s="1" t="s">
        <v>2025</v>
      </c>
      <c r="B1179" s="1" t="s">
        <v>1422</v>
      </c>
      <c r="C1179" s="1" t="s">
        <v>1423</v>
      </c>
      <c r="D1179" s="1" t="s">
        <v>1776</v>
      </c>
      <c r="E1179" s="1" t="s">
        <v>2023</v>
      </c>
      <c r="F1179" s="1" t="s">
        <v>2026</v>
      </c>
      <c r="G1179" s="8" t="s">
        <v>1607</v>
      </c>
      <c r="I1179" s="1" t="n">
        <v>8</v>
      </c>
    </row>
    <row r="1180" customFormat="false" ht="15" hidden="false" customHeight="false" outlineLevel="0" collapsed="false">
      <c r="A1180" s="1" t="s">
        <v>2025</v>
      </c>
      <c r="B1180" s="1" t="s">
        <v>1426</v>
      </c>
      <c r="C1180" s="1" t="s">
        <v>1427</v>
      </c>
      <c r="D1180" s="1" t="s">
        <v>1776</v>
      </c>
      <c r="E1180" s="1" t="s">
        <v>2023</v>
      </c>
      <c r="F1180" s="1" t="s">
        <v>2026</v>
      </c>
      <c r="G1180" s="8" t="s">
        <v>1607</v>
      </c>
      <c r="I1180" s="1" t="n">
        <v>1</v>
      </c>
    </row>
    <row r="1181" customFormat="false" ht="15" hidden="false" customHeight="false" outlineLevel="0" collapsed="false">
      <c r="A1181" s="1" t="s">
        <v>2025</v>
      </c>
      <c r="B1181" s="1" t="s">
        <v>1426</v>
      </c>
      <c r="C1181" s="1" t="s">
        <v>1783</v>
      </c>
      <c r="D1181" s="1" t="s">
        <v>1776</v>
      </c>
      <c r="E1181" s="1" t="s">
        <v>2023</v>
      </c>
      <c r="F1181" s="1" t="s">
        <v>2026</v>
      </c>
      <c r="G1181" s="8" t="s">
        <v>1607</v>
      </c>
      <c r="I1181" s="1" t="n">
        <v>0</v>
      </c>
    </row>
    <row r="1182" customFormat="false" ht="15" hidden="false" customHeight="false" outlineLevel="0" collapsed="false">
      <c r="A1182" s="1" t="s">
        <v>2025</v>
      </c>
      <c r="B1182" s="1" t="s">
        <v>1426</v>
      </c>
      <c r="C1182" s="1" t="s">
        <v>1784</v>
      </c>
      <c r="D1182" s="1" t="s">
        <v>1776</v>
      </c>
      <c r="E1182" s="1" t="s">
        <v>2023</v>
      </c>
      <c r="F1182" s="1" t="s">
        <v>2026</v>
      </c>
      <c r="G1182" s="8" t="s">
        <v>1607</v>
      </c>
      <c r="I1182" s="1" t="n">
        <v>0</v>
      </c>
    </row>
    <row r="1183" customFormat="false" ht="15" hidden="false" customHeight="false" outlineLevel="0" collapsed="false">
      <c r="A1183" s="1" t="s">
        <v>2025</v>
      </c>
      <c r="B1183" s="1" t="s">
        <v>1426</v>
      </c>
      <c r="C1183" s="1" t="s">
        <v>1785</v>
      </c>
      <c r="D1183" s="1" t="s">
        <v>1776</v>
      </c>
      <c r="E1183" s="1" t="s">
        <v>2023</v>
      </c>
      <c r="F1183" s="1" t="s">
        <v>2026</v>
      </c>
      <c r="G1183" s="8" t="s">
        <v>1607</v>
      </c>
      <c r="I1183" s="1" t="n">
        <v>1</v>
      </c>
    </row>
    <row r="1184" customFormat="false" ht="15" hidden="false" customHeight="false" outlineLevel="0" collapsed="false">
      <c r="A1184" s="1" t="s">
        <v>2025</v>
      </c>
      <c r="B1184" s="1" t="s">
        <v>1426</v>
      </c>
      <c r="C1184" s="1" t="s">
        <v>1786</v>
      </c>
      <c r="D1184" s="1" t="s">
        <v>1776</v>
      </c>
      <c r="E1184" s="1" t="s">
        <v>2023</v>
      </c>
      <c r="F1184" s="1" t="s">
        <v>2026</v>
      </c>
      <c r="G1184" s="8" t="s">
        <v>1607</v>
      </c>
      <c r="I1184" s="1" t="n">
        <v>1</v>
      </c>
    </row>
    <row r="1185" customFormat="false" ht="15" hidden="false" customHeight="false" outlineLevel="0" collapsed="false">
      <c r="A1185" s="1" t="s">
        <v>2025</v>
      </c>
      <c r="B1185" s="1" t="s">
        <v>1426</v>
      </c>
      <c r="C1185" s="1" t="s">
        <v>1787</v>
      </c>
      <c r="D1185" s="1" t="s">
        <v>1776</v>
      </c>
      <c r="E1185" s="1" t="s">
        <v>2023</v>
      </c>
      <c r="F1185" s="1" t="s">
        <v>2026</v>
      </c>
      <c r="G1185" s="8" t="s">
        <v>1607</v>
      </c>
      <c r="I1185" s="1" t="n">
        <v>0</v>
      </c>
    </row>
    <row r="1186" customFormat="false" ht="15" hidden="false" customHeight="false" outlineLevel="0" collapsed="false">
      <c r="A1186" s="1" t="s">
        <v>2025</v>
      </c>
      <c r="B1186" s="1" t="s">
        <v>1428</v>
      </c>
      <c r="C1186" s="1" t="s">
        <v>1429</v>
      </c>
      <c r="D1186" s="1" t="s">
        <v>1776</v>
      </c>
      <c r="E1186" s="1" t="s">
        <v>2023</v>
      </c>
      <c r="F1186" s="1" t="s">
        <v>2026</v>
      </c>
      <c r="G1186" s="8" t="s">
        <v>1607</v>
      </c>
      <c r="I1186" s="1" t="n">
        <v>1</v>
      </c>
    </row>
    <row r="1187" customFormat="false" ht="15" hidden="false" customHeight="false" outlineLevel="0" collapsed="false">
      <c r="A1187" s="1" t="s">
        <v>2025</v>
      </c>
      <c r="B1187" s="1" t="s">
        <v>1430</v>
      </c>
      <c r="C1187" s="1" t="s">
        <v>1431</v>
      </c>
      <c r="D1187" s="1" t="s">
        <v>1776</v>
      </c>
      <c r="E1187" s="1" t="s">
        <v>2023</v>
      </c>
      <c r="F1187" s="1" t="s">
        <v>2026</v>
      </c>
      <c r="G1187" s="8" t="s">
        <v>1607</v>
      </c>
      <c r="I1187" s="1" t="n">
        <v>1</v>
      </c>
    </row>
    <row r="1188" customFormat="false" ht="15" hidden="false" customHeight="false" outlineLevel="0" collapsed="false">
      <c r="A1188" s="1" t="s">
        <v>2025</v>
      </c>
      <c r="B1188" s="1" t="s">
        <v>1432</v>
      </c>
      <c r="C1188" s="1" t="s">
        <v>1433</v>
      </c>
      <c r="D1188" s="1" t="s">
        <v>1776</v>
      </c>
      <c r="E1188" s="1" t="s">
        <v>2023</v>
      </c>
      <c r="F1188" s="1" t="s">
        <v>2026</v>
      </c>
      <c r="G1188" s="8" t="s">
        <v>1607</v>
      </c>
      <c r="I1188" s="1" t="n">
        <v>8</v>
      </c>
    </row>
    <row r="1189" customFormat="false" ht="15" hidden="false" customHeight="false" outlineLevel="0" collapsed="false">
      <c r="A1189" s="1" t="s">
        <v>2025</v>
      </c>
      <c r="B1189" s="1" t="s">
        <v>1435</v>
      </c>
      <c r="C1189" s="1" t="s">
        <v>1436</v>
      </c>
      <c r="D1189" s="1" t="s">
        <v>1776</v>
      </c>
      <c r="E1189" s="1" t="s">
        <v>2023</v>
      </c>
      <c r="F1189" s="1" t="s">
        <v>2026</v>
      </c>
      <c r="G1189" s="8" t="s">
        <v>1607</v>
      </c>
      <c r="I1189" s="1" t="n">
        <v>186</v>
      </c>
    </row>
    <row r="1190" customFormat="false" ht="15" hidden="false" customHeight="false" outlineLevel="0" collapsed="false">
      <c r="A1190" s="1" t="s">
        <v>2025</v>
      </c>
      <c r="B1190" s="1" t="s">
        <v>1437</v>
      </c>
      <c r="C1190" s="1" t="s">
        <v>1438</v>
      </c>
      <c r="D1190" s="1" t="s">
        <v>1776</v>
      </c>
      <c r="E1190" s="1" t="s">
        <v>2023</v>
      </c>
      <c r="F1190" s="1" t="s">
        <v>2026</v>
      </c>
      <c r="G1190" s="8" t="s">
        <v>1607</v>
      </c>
      <c r="I1190" s="1" t="n">
        <v>30</v>
      </c>
    </row>
    <row r="1191" customFormat="false" ht="15" hidden="false" customHeight="false" outlineLevel="0" collapsed="false">
      <c r="A1191" s="1" t="s">
        <v>2025</v>
      </c>
      <c r="B1191" s="1" t="s">
        <v>1439</v>
      </c>
      <c r="C1191" s="1" t="s">
        <v>1440</v>
      </c>
      <c r="D1191" s="1" t="s">
        <v>1776</v>
      </c>
      <c r="E1191" s="1" t="s">
        <v>2023</v>
      </c>
      <c r="F1191" s="1" t="s">
        <v>2026</v>
      </c>
      <c r="G1191" s="8" t="s">
        <v>1607</v>
      </c>
      <c r="I1191" s="1" t="n">
        <v>1</v>
      </c>
    </row>
    <row r="1192" customFormat="false" ht="15" hidden="false" customHeight="false" outlineLevel="0" collapsed="false">
      <c r="A1192" s="1" t="s">
        <v>2025</v>
      </c>
      <c r="B1192" s="1" t="s">
        <v>1441</v>
      </c>
      <c r="C1192" s="1" t="s">
        <v>1442</v>
      </c>
      <c r="D1192" s="1" t="s">
        <v>1776</v>
      </c>
      <c r="E1192" s="1" t="s">
        <v>2023</v>
      </c>
      <c r="F1192" s="1" t="s">
        <v>2026</v>
      </c>
      <c r="G1192" s="8" t="s">
        <v>1607</v>
      </c>
      <c r="I1192" s="1" t="n">
        <v>0</v>
      </c>
    </row>
    <row r="1193" customFormat="false" ht="15" hidden="false" customHeight="false" outlineLevel="0" collapsed="false">
      <c r="A1193" s="1" t="s">
        <v>2025</v>
      </c>
      <c r="B1193" s="1" t="s">
        <v>1441</v>
      </c>
      <c r="C1193" s="1" t="s">
        <v>1777</v>
      </c>
      <c r="D1193" s="1" t="s">
        <v>1776</v>
      </c>
      <c r="E1193" s="1" t="s">
        <v>2023</v>
      </c>
      <c r="F1193" s="1" t="s">
        <v>2026</v>
      </c>
      <c r="G1193" s="8" t="s">
        <v>1607</v>
      </c>
      <c r="I1193" s="1" t="n">
        <v>0</v>
      </c>
    </row>
    <row r="1194" customFormat="false" ht="15" hidden="false" customHeight="false" outlineLevel="0" collapsed="false">
      <c r="A1194" s="1" t="s">
        <v>2025</v>
      </c>
      <c r="B1194" s="1" t="s">
        <v>1441</v>
      </c>
      <c r="C1194" s="1" t="s">
        <v>1778</v>
      </c>
      <c r="D1194" s="1" t="s">
        <v>1776</v>
      </c>
      <c r="E1194" s="1" t="s">
        <v>2023</v>
      </c>
      <c r="F1194" s="1" t="s">
        <v>2026</v>
      </c>
      <c r="G1194" s="8" t="s">
        <v>1607</v>
      </c>
      <c r="I1194" s="1" t="n">
        <v>0</v>
      </c>
    </row>
    <row r="1195" customFormat="false" ht="15" hidden="false" customHeight="false" outlineLevel="0" collapsed="false">
      <c r="A1195" s="1" t="s">
        <v>2025</v>
      </c>
      <c r="B1195" s="1" t="s">
        <v>1441</v>
      </c>
      <c r="C1195" s="1" t="s">
        <v>1779</v>
      </c>
      <c r="D1195" s="1" t="s">
        <v>1776</v>
      </c>
      <c r="E1195" s="1" t="s">
        <v>2023</v>
      </c>
      <c r="F1195" s="1" t="s">
        <v>2026</v>
      </c>
      <c r="G1195" s="8" t="s">
        <v>1607</v>
      </c>
      <c r="I1195" s="1" t="n">
        <v>0</v>
      </c>
    </row>
    <row r="1196" customFormat="false" ht="15" hidden="false" customHeight="false" outlineLevel="0" collapsed="false">
      <c r="A1196" s="1" t="s">
        <v>2025</v>
      </c>
      <c r="B1196" s="1" t="s">
        <v>1441</v>
      </c>
      <c r="C1196" s="1" t="s">
        <v>1780</v>
      </c>
      <c r="D1196" s="1" t="s">
        <v>1776</v>
      </c>
      <c r="E1196" s="1" t="s">
        <v>2023</v>
      </c>
      <c r="F1196" s="1" t="s">
        <v>2026</v>
      </c>
      <c r="G1196" s="8" t="s">
        <v>1607</v>
      </c>
      <c r="I1196" s="1" t="n">
        <v>0</v>
      </c>
    </row>
    <row r="1197" customFormat="false" ht="15" hidden="false" customHeight="false" outlineLevel="0" collapsed="false">
      <c r="A1197" s="1" t="s">
        <v>2025</v>
      </c>
      <c r="B1197" s="1" t="s">
        <v>1443</v>
      </c>
      <c r="C1197" s="1" t="s">
        <v>1444</v>
      </c>
      <c r="D1197" s="1" t="s">
        <v>1776</v>
      </c>
      <c r="E1197" s="1" t="s">
        <v>2023</v>
      </c>
      <c r="F1197" s="1" t="s">
        <v>2026</v>
      </c>
      <c r="G1197" s="8" t="s">
        <v>1607</v>
      </c>
      <c r="I1197" s="1" t="n">
        <v>9</v>
      </c>
    </row>
    <row r="1198" customFormat="false" ht="15" hidden="false" customHeight="false" outlineLevel="0" collapsed="false">
      <c r="A1198" s="1" t="s">
        <v>2025</v>
      </c>
      <c r="B1198" s="1" t="s">
        <v>1446</v>
      </c>
      <c r="C1198" s="1" t="s">
        <v>1447</v>
      </c>
      <c r="D1198" s="1" t="s">
        <v>1776</v>
      </c>
      <c r="E1198" s="1" t="s">
        <v>2023</v>
      </c>
      <c r="F1198" s="1" t="s">
        <v>2026</v>
      </c>
      <c r="G1198" s="8" t="s">
        <v>1607</v>
      </c>
      <c r="I1198" s="1" t="n">
        <v>2</v>
      </c>
    </row>
    <row r="1199" customFormat="false" ht="15" hidden="false" customHeight="false" outlineLevel="0" collapsed="false">
      <c r="A1199" s="1" t="s">
        <v>2025</v>
      </c>
      <c r="B1199" s="1" t="s">
        <v>1448</v>
      </c>
      <c r="C1199" s="1" t="s">
        <v>1449</v>
      </c>
      <c r="D1199" s="1" t="s">
        <v>1776</v>
      </c>
      <c r="E1199" s="1" t="s">
        <v>2023</v>
      </c>
      <c r="F1199" s="1" t="s">
        <v>2026</v>
      </c>
      <c r="G1199" s="8" t="s">
        <v>1607</v>
      </c>
      <c r="I1199" s="1" t="n">
        <v>1</v>
      </c>
    </row>
    <row r="1200" customFormat="false" ht="15" hidden="false" customHeight="false" outlineLevel="0" collapsed="false">
      <c r="A1200" s="1" t="s">
        <v>2025</v>
      </c>
      <c r="B1200" s="1" t="s">
        <v>1450</v>
      </c>
      <c r="C1200" s="1" t="s">
        <v>1451</v>
      </c>
      <c r="D1200" s="1" t="s">
        <v>1776</v>
      </c>
      <c r="E1200" s="1" t="s">
        <v>2023</v>
      </c>
      <c r="F1200" s="1" t="s">
        <v>2026</v>
      </c>
      <c r="G1200" s="8" t="s">
        <v>1607</v>
      </c>
      <c r="I1200" s="1" t="n">
        <v>1</v>
      </c>
    </row>
    <row r="1201" customFormat="false" ht="15" hidden="false" customHeight="false" outlineLevel="0" collapsed="false">
      <c r="A1201" s="1" t="s">
        <v>2025</v>
      </c>
      <c r="B1201" s="1" t="s">
        <v>1452</v>
      </c>
      <c r="C1201" s="1" t="s">
        <v>1453</v>
      </c>
      <c r="D1201" s="1" t="s">
        <v>1776</v>
      </c>
      <c r="E1201" s="1" t="s">
        <v>2023</v>
      </c>
      <c r="F1201" s="1" t="s">
        <v>2026</v>
      </c>
      <c r="G1201" s="8" t="s">
        <v>1607</v>
      </c>
      <c r="I1201" s="1" t="n">
        <v>1</v>
      </c>
    </row>
    <row r="1202" customFormat="false" ht="15" hidden="false" customHeight="false" outlineLevel="0" collapsed="false">
      <c r="A1202" s="1" t="s">
        <v>2025</v>
      </c>
      <c r="B1202" s="1" t="s">
        <v>1454</v>
      </c>
      <c r="C1202" s="1" t="s">
        <v>1455</v>
      </c>
      <c r="D1202" s="1" t="s">
        <v>1776</v>
      </c>
      <c r="E1202" s="1" t="s">
        <v>2023</v>
      </c>
      <c r="F1202" s="1" t="s">
        <v>2026</v>
      </c>
      <c r="G1202" s="8" t="s">
        <v>1607</v>
      </c>
      <c r="I1202" s="1" t="n">
        <v>2</v>
      </c>
    </row>
    <row r="1203" customFormat="false" ht="15" hidden="false" customHeight="false" outlineLevel="0" collapsed="false">
      <c r="A1203" s="1" t="s">
        <v>2025</v>
      </c>
      <c r="B1203" s="1" t="s">
        <v>1456</v>
      </c>
      <c r="C1203" s="1" t="s">
        <v>1457</v>
      </c>
      <c r="D1203" s="1" t="s">
        <v>1776</v>
      </c>
      <c r="E1203" s="1" t="s">
        <v>2023</v>
      </c>
      <c r="F1203" s="1" t="s">
        <v>2026</v>
      </c>
      <c r="G1203" s="8" t="s">
        <v>1607</v>
      </c>
      <c r="I1203" s="1" t="n">
        <v>1</v>
      </c>
    </row>
    <row r="1204" customFormat="false" ht="15" hidden="false" customHeight="false" outlineLevel="0" collapsed="false">
      <c r="A1204" s="1" t="s">
        <v>2025</v>
      </c>
      <c r="B1204" s="1" t="s">
        <v>1458</v>
      </c>
      <c r="C1204" s="1" t="s">
        <v>1459</v>
      </c>
      <c r="D1204" s="1" t="s">
        <v>1776</v>
      </c>
      <c r="E1204" s="1" t="s">
        <v>2023</v>
      </c>
      <c r="F1204" s="1" t="s">
        <v>2026</v>
      </c>
      <c r="G1204" s="8" t="s">
        <v>1607</v>
      </c>
      <c r="I1204" s="1" t="n">
        <v>1</v>
      </c>
    </row>
    <row r="1205" customFormat="false" ht="15" hidden="false" customHeight="false" outlineLevel="0" collapsed="false">
      <c r="A1205" s="1" t="s">
        <v>2025</v>
      </c>
      <c r="B1205" s="1" t="s">
        <v>1460</v>
      </c>
      <c r="C1205" s="1" t="s">
        <v>1461</v>
      </c>
      <c r="D1205" s="1" t="s">
        <v>1776</v>
      </c>
      <c r="E1205" s="1" t="s">
        <v>2023</v>
      </c>
      <c r="F1205" s="1" t="s">
        <v>2026</v>
      </c>
      <c r="G1205" s="8" t="s">
        <v>1607</v>
      </c>
      <c r="I1205" s="1" t="n">
        <v>1</v>
      </c>
    </row>
    <row r="1206" customFormat="false" ht="15" hidden="false" customHeight="false" outlineLevel="0" collapsed="false">
      <c r="A1206" s="1" t="s">
        <v>2025</v>
      </c>
      <c r="B1206" s="1" t="s">
        <v>1462</v>
      </c>
      <c r="C1206" s="1" t="s">
        <v>1463</v>
      </c>
      <c r="D1206" s="1" t="s">
        <v>1776</v>
      </c>
      <c r="E1206" s="1" t="s">
        <v>2023</v>
      </c>
      <c r="F1206" s="1" t="s">
        <v>2026</v>
      </c>
      <c r="G1206" s="8" t="s">
        <v>1607</v>
      </c>
      <c r="I1206" s="1" t="n">
        <v>0</v>
      </c>
    </row>
    <row r="1207" customFormat="false" ht="15" hidden="false" customHeight="false" outlineLevel="0" collapsed="false">
      <c r="A1207" s="1" t="s">
        <v>2025</v>
      </c>
      <c r="B1207" s="1" t="s">
        <v>1464</v>
      </c>
      <c r="C1207" s="1" t="s">
        <v>1465</v>
      </c>
      <c r="D1207" s="1" t="s">
        <v>1776</v>
      </c>
      <c r="E1207" s="1" t="s">
        <v>2023</v>
      </c>
      <c r="F1207" s="1" t="s">
        <v>2026</v>
      </c>
      <c r="G1207" s="8" t="s">
        <v>1607</v>
      </c>
      <c r="I1207" s="1" t="n">
        <v>0</v>
      </c>
    </row>
    <row r="1208" customFormat="false" ht="15" hidden="false" customHeight="false" outlineLevel="0" collapsed="false">
      <c r="A1208" s="1" t="s">
        <v>2025</v>
      </c>
      <c r="B1208" s="1" t="s">
        <v>1466</v>
      </c>
      <c r="C1208" s="1" t="s">
        <v>1467</v>
      </c>
      <c r="D1208" s="1" t="s">
        <v>1776</v>
      </c>
      <c r="E1208" s="1" t="s">
        <v>2023</v>
      </c>
      <c r="F1208" s="1" t="s">
        <v>2026</v>
      </c>
      <c r="G1208" s="8" t="s">
        <v>1607</v>
      </c>
      <c r="I1208" s="1" t="n">
        <v>0</v>
      </c>
    </row>
    <row r="1209" customFormat="false" ht="15" hidden="false" customHeight="false" outlineLevel="0" collapsed="false">
      <c r="A1209" s="1" t="s">
        <v>2025</v>
      </c>
      <c r="B1209" s="1" t="s">
        <v>1466</v>
      </c>
      <c r="C1209" s="1" t="s">
        <v>1781</v>
      </c>
      <c r="D1209" s="1" t="s">
        <v>1776</v>
      </c>
      <c r="E1209" s="1" t="s">
        <v>2023</v>
      </c>
      <c r="F1209" s="1" t="s">
        <v>2026</v>
      </c>
      <c r="G1209" s="8" t="s">
        <v>1607</v>
      </c>
      <c r="I1209" s="1" t="n">
        <v>0</v>
      </c>
    </row>
    <row r="1210" customFormat="false" ht="15" hidden="false" customHeight="false" outlineLevel="0" collapsed="false">
      <c r="A1210" s="1" t="s">
        <v>2025</v>
      </c>
      <c r="B1210" s="1" t="s">
        <v>1466</v>
      </c>
      <c r="C1210" s="1" t="s">
        <v>1782</v>
      </c>
      <c r="D1210" s="1" t="s">
        <v>1776</v>
      </c>
      <c r="E1210" s="1" t="s">
        <v>2023</v>
      </c>
      <c r="F1210" s="1" t="s">
        <v>2026</v>
      </c>
      <c r="G1210" s="8" t="s">
        <v>1607</v>
      </c>
      <c r="I1210" s="1" t="n">
        <v>0</v>
      </c>
    </row>
    <row r="1211" customFormat="false" ht="15" hidden="false" customHeight="false" outlineLevel="0" collapsed="false">
      <c r="A1211" s="1" t="s">
        <v>2025</v>
      </c>
      <c r="B1211" s="1" t="s">
        <v>1468</v>
      </c>
      <c r="C1211" s="1" t="s">
        <v>1469</v>
      </c>
      <c r="D1211" s="1" t="s">
        <v>1776</v>
      </c>
      <c r="E1211" s="1" t="s">
        <v>2023</v>
      </c>
      <c r="F1211" s="1" t="s">
        <v>2026</v>
      </c>
      <c r="G1211" s="8" t="s">
        <v>1607</v>
      </c>
      <c r="I1211" s="1" t="n">
        <v>0</v>
      </c>
    </row>
    <row r="1212" customFormat="false" ht="15" hidden="false" customHeight="false" outlineLevel="0" collapsed="false">
      <c r="A1212" s="1" t="s">
        <v>2025</v>
      </c>
      <c r="B1212" s="1" t="s">
        <v>1470</v>
      </c>
      <c r="C1212" s="1" t="s">
        <v>1471</v>
      </c>
      <c r="D1212" s="1" t="s">
        <v>1788</v>
      </c>
      <c r="E1212" s="1" t="s">
        <v>2023</v>
      </c>
      <c r="F1212" s="1" t="s">
        <v>2026</v>
      </c>
      <c r="G1212" s="8" t="s">
        <v>1607</v>
      </c>
      <c r="I1212" s="1" t="n">
        <v>2</v>
      </c>
    </row>
    <row r="1213" customFormat="false" ht="15" hidden="false" customHeight="false" outlineLevel="0" collapsed="false">
      <c r="A1213" s="1" t="s">
        <v>2025</v>
      </c>
      <c r="B1213" s="1" t="s">
        <v>1470</v>
      </c>
      <c r="C1213" s="1" t="s">
        <v>1789</v>
      </c>
      <c r="D1213" s="1" t="s">
        <v>1788</v>
      </c>
      <c r="E1213" s="1" t="s">
        <v>2023</v>
      </c>
      <c r="F1213" s="1" t="s">
        <v>2026</v>
      </c>
      <c r="G1213" s="8" t="s">
        <v>1607</v>
      </c>
      <c r="I1213" s="1" t="n">
        <v>0</v>
      </c>
    </row>
    <row r="1214" customFormat="false" ht="15" hidden="false" customHeight="false" outlineLevel="0" collapsed="false">
      <c r="A1214" s="1" t="s">
        <v>2025</v>
      </c>
      <c r="B1214" s="1" t="s">
        <v>1470</v>
      </c>
      <c r="C1214" s="1" t="s">
        <v>1790</v>
      </c>
      <c r="D1214" s="1" t="s">
        <v>1788</v>
      </c>
      <c r="E1214" s="1" t="s">
        <v>2023</v>
      </c>
      <c r="F1214" s="1" t="s">
        <v>2026</v>
      </c>
      <c r="G1214" s="8" t="s">
        <v>1607</v>
      </c>
      <c r="I1214" s="1" t="n">
        <v>0</v>
      </c>
    </row>
    <row r="1215" customFormat="false" ht="15" hidden="false" customHeight="false" outlineLevel="0" collapsed="false">
      <c r="A1215" s="1" t="s">
        <v>2025</v>
      </c>
      <c r="B1215" s="1" t="s">
        <v>1470</v>
      </c>
      <c r="C1215" s="1" t="s">
        <v>1791</v>
      </c>
      <c r="D1215" s="1" t="s">
        <v>1788</v>
      </c>
      <c r="E1215" s="1" t="s">
        <v>2023</v>
      </c>
      <c r="F1215" s="1" t="s">
        <v>2026</v>
      </c>
      <c r="G1215" s="8" t="s">
        <v>1607</v>
      </c>
      <c r="I1215" s="1" t="n">
        <v>0</v>
      </c>
    </row>
    <row r="1216" customFormat="false" ht="15" hidden="false" customHeight="false" outlineLevel="0" collapsed="false">
      <c r="A1216" s="1" t="s">
        <v>2025</v>
      </c>
      <c r="B1216" s="1" t="s">
        <v>1470</v>
      </c>
      <c r="C1216" s="1" t="s">
        <v>1792</v>
      </c>
      <c r="D1216" s="1" t="s">
        <v>1788</v>
      </c>
      <c r="E1216" s="1" t="s">
        <v>2023</v>
      </c>
      <c r="F1216" s="1" t="s">
        <v>2026</v>
      </c>
      <c r="G1216" s="8" t="s">
        <v>1607</v>
      </c>
      <c r="I1216" s="1" t="n">
        <v>0</v>
      </c>
    </row>
    <row r="1217" customFormat="false" ht="15" hidden="false" customHeight="false" outlineLevel="0" collapsed="false">
      <c r="A1217" s="1" t="s">
        <v>2025</v>
      </c>
      <c r="B1217" s="1" t="s">
        <v>1470</v>
      </c>
      <c r="C1217" s="1" t="s">
        <v>1793</v>
      </c>
      <c r="D1217" s="1" t="s">
        <v>1788</v>
      </c>
      <c r="E1217" s="1" t="s">
        <v>2023</v>
      </c>
      <c r="F1217" s="1" t="s">
        <v>2026</v>
      </c>
      <c r="G1217" s="8" t="s">
        <v>1607</v>
      </c>
      <c r="I1217" s="1" t="n">
        <v>0</v>
      </c>
    </row>
    <row r="1218" customFormat="false" ht="15" hidden="false" customHeight="false" outlineLevel="0" collapsed="false">
      <c r="A1218" s="1" t="s">
        <v>2025</v>
      </c>
      <c r="B1218" s="1" t="s">
        <v>1470</v>
      </c>
      <c r="C1218" s="1" t="s">
        <v>1794</v>
      </c>
      <c r="D1218" s="1" t="s">
        <v>1788</v>
      </c>
      <c r="E1218" s="1" t="s">
        <v>2023</v>
      </c>
      <c r="F1218" s="1" t="s">
        <v>2026</v>
      </c>
      <c r="G1218" s="8" t="s">
        <v>1607</v>
      </c>
      <c r="I1218" s="1" t="n">
        <v>0</v>
      </c>
    </row>
    <row r="1219" customFormat="false" ht="15" hidden="false" customHeight="false" outlineLevel="0" collapsed="false">
      <c r="A1219" s="1" t="s">
        <v>2025</v>
      </c>
      <c r="B1219" s="1" t="s">
        <v>1470</v>
      </c>
      <c r="C1219" s="1" t="s">
        <v>1795</v>
      </c>
      <c r="D1219" s="1" t="s">
        <v>1788</v>
      </c>
      <c r="E1219" s="1" t="s">
        <v>2023</v>
      </c>
      <c r="F1219" s="1" t="s">
        <v>2026</v>
      </c>
      <c r="G1219" s="8" t="s">
        <v>1607</v>
      </c>
      <c r="I1219" s="1" t="n">
        <v>0</v>
      </c>
    </row>
    <row r="1220" customFormat="false" ht="15" hidden="false" customHeight="false" outlineLevel="0" collapsed="false">
      <c r="A1220" s="1" t="s">
        <v>2025</v>
      </c>
      <c r="B1220" s="1" t="s">
        <v>1470</v>
      </c>
      <c r="C1220" s="1" t="s">
        <v>1796</v>
      </c>
      <c r="D1220" s="1" t="s">
        <v>1788</v>
      </c>
      <c r="E1220" s="1" t="s">
        <v>2023</v>
      </c>
      <c r="F1220" s="1" t="s">
        <v>2026</v>
      </c>
      <c r="G1220" s="8" t="s">
        <v>1607</v>
      </c>
      <c r="I1220" s="1" t="n">
        <v>0</v>
      </c>
    </row>
    <row r="1221" customFormat="false" ht="15" hidden="false" customHeight="false" outlineLevel="0" collapsed="false">
      <c r="A1221" s="1" t="s">
        <v>2025</v>
      </c>
      <c r="B1221" s="1" t="s">
        <v>1470</v>
      </c>
      <c r="C1221" s="1" t="s">
        <v>1797</v>
      </c>
      <c r="D1221" s="1" t="s">
        <v>1788</v>
      </c>
      <c r="E1221" s="1" t="s">
        <v>2023</v>
      </c>
      <c r="F1221" s="1" t="s">
        <v>2026</v>
      </c>
      <c r="G1221" s="8" t="s">
        <v>1607</v>
      </c>
      <c r="I1221" s="1" t="n">
        <v>0</v>
      </c>
    </row>
    <row r="1222" customFormat="false" ht="15" hidden="false" customHeight="false" outlineLevel="0" collapsed="false">
      <c r="A1222" s="1" t="s">
        <v>2025</v>
      </c>
      <c r="B1222" s="1" t="s">
        <v>1470</v>
      </c>
      <c r="C1222" s="1" t="s">
        <v>1798</v>
      </c>
      <c r="D1222" s="1" t="s">
        <v>1788</v>
      </c>
      <c r="E1222" s="1" t="s">
        <v>2023</v>
      </c>
      <c r="F1222" s="1" t="s">
        <v>2026</v>
      </c>
      <c r="G1222" s="8" t="s">
        <v>1607</v>
      </c>
      <c r="I1222" s="1" t="n">
        <v>0</v>
      </c>
    </row>
    <row r="1223" customFormat="false" ht="15" hidden="false" customHeight="false" outlineLevel="0" collapsed="false">
      <c r="A1223" s="1" t="s">
        <v>2025</v>
      </c>
      <c r="B1223" s="1" t="s">
        <v>1470</v>
      </c>
      <c r="C1223" s="1" t="s">
        <v>1799</v>
      </c>
      <c r="D1223" s="1" t="s">
        <v>1788</v>
      </c>
      <c r="E1223" s="1" t="s">
        <v>2023</v>
      </c>
      <c r="F1223" s="1" t="s">
        <v>2026</v>
      </c>
      <c r="G1223" s="8" t="s">
        <v>1607</v>
      </c>
      <c r="I1223" s="1" t="n">
        <v>0</v>
      </c>
    </row>
    <row r="1224" customFormat="false" ht="15" hidden="false" customHeight="false" outlineLevel="0" collapsed="false">
      <c r="A1224" s="1" t="s">
        <v>2025</v>
      </c>
      <c r="B1224" s="1" t="s">
        <v>1470</v>
      </c>
      <c r="C1224" s="1" t="s">
        <v>1800</v>
      </c>
      <c r="D1224" s="1" t="s">
        <v>1788</v>
      </c>
      <c r="E1224" s="1" t="s">
        <v>2023</v>
      </c>
      <c r="F1224" s="1" t="s">
        <v>2026</v>
      </c>
      <c r="G1224" s="8" t="s">
        <v>1607</v>
      </c>
      <c r="I1224" s="1" t="n">
        <v>0</v>
      </c>
    </row>
    <row r="1225" customFormat="false" ht="15" hidden="false" customHeight="false" outlineLevel="0" collapsed="false">
      <c r="A1225" s="1" t="s">
        <v>2025</v>
      </c>
      <c r="B1225" s="1" t="s">
        <v>1470</v>
      </c>
      <c r="C1225" s="1" t="s">
        <v>1801</v>
      </c>
      <c r="D1225" s="1" t="s">
        <v>1788</v>
      </c>
      <c r="E1225" s="1" t="s">
        <v>2023</v>
      </c>
      <c r="F1225" s="1" t="s">
        <v>2026</v>
      </c>
      <c r="G1225" s="8" t="s">
        <v>1607</v>
      </c>
      <c r="I1225" s="1" t="n">
        <v>0</v>
      </c>
    </row>
    <row r="1226" customFormat="false" ht="15" hidden="false" customHeight="false" outlineLevel="0" collapsed="false">
      <c r="A1226" s="1" t="s">
        <v>2025</v>
      </c>
      <c r="B1226" s="1" t="s">
        <v>1470</v>
      </c>
      <c r="C1226" s="1" t="s">
        <v>1802</v>
      </c>
      <c r="D1226" s="1" t="s">
        <v>1788</v>
      </c>
      <c r="E1226" s="1" t="s">
        <v>2023</v>
      </c>
      <c r="F1226" s="1" t="s">
        <v>2026</v>
      </c>
      <c r="G1226" s="8" t="s">
        <v>1607</v>
      </c>
      <c r="I1226" s="1" t="n">
        <v>0</v>
      </c>
    </row>
    <row r="1227" customFormat="false" ht="15" hidden="false" customHeight="false" outlineLevel="0" collapsed="false">
      <c r="A1227" s="1" t="s">
        <v>2025</v>
      </c>
      <c r="B1227" s="1" t="s">
        <v>1470</v>
      </c>
      <c r="C1227" s="1" t="s">
        <v>1803</v>
      </c>
      <c r="D1227" s="1" t="s">
        <v>1788</v>
      </c>
      <c r="E1227" s="1" t="s">
        <v>2023</v>
      </c>
      <c r="F1227" s="1" t="s">
        <v>2026</v>
      </c>
      <c r="G1227" s="8" t="s">
        <v>1607</v>
      </c>
      <c r="I1227" s="1" t="n">
        <v>0</v>
      </c>
    </row>
    <row r="1228" customFormat="false" ht="15" hidden="false" customHeight="false" outlineLevel="0" collapsed="false">
      <c r="A1228" s="1" t="s">
        <v>2025</v>
      </c>
      <c r="B1228" s="1" t="s">
        <v>1470</v>
      </c>
      <c r="C1228" s="1" t="s">
        <v>1804</v>
      </c>
      <c r="D1228" s="1" t="s">
        <v>1788</v>
      </c>
      <c r="E1228" s="1" t="s">
        <v>2023</v>
      </c>
      <c r="F1228" s="1" t="s">
        <v>2026</v>
      </c>
      <c r="G1228" s="8" t="s">
        <v>1607</v>
      </c>
      <c r="I1228" s="1" t="n">
        <v>0</v>
      </c>
    </row>
    <row r="1229" customFormat="false" ht="15" hidden="false" customHeight="false" outlineLevel="0" collapsed="false">
      <c r="A1229" s="1" t="s">
        <v>2025</v>
      </c>
      <c r="B1229" s="1" t="s">
        <v>1470</v>
      </c>
      <c r="C1229" s="1" t="s">
        <v>1805</v>
      </c>
      <c r="D1229" s="1" t="s">
        <v>1788</v>
      </c>
      <c r="E1229" s="1" t="s">
        <v>2023</v>
      </c>
      <c r="F1229" s="1" t="s">
        <v>2026</v>
      </c>
      <c r="G1229" s="8" t="s">
        <v>1607</v>
      </c>
      <c r="I1229" s="1" t="n">
        <v>0</v>
      </c>
    </row>
    <row r="1230" customFormat="false" ht="15" hidden="false" customHeight="false" outlineLevel="0" collapsed="false">
      <c r="A1230" s="1" t="s">
        <v>2025</v>
      </c>
      <c r="B1230" s="1" t="s">
        <v>1470</v>
      </c>
      <c r="C1230" s="1" t="s">
        <v>1806</v>
      </c>
      <c r="D1230" s="1" t="s">
        <v>1788</v>
      </c>
      <c r="E1230" s="1" t="s">
        <v>2023</v>
      </c>
      <c r="F1230" s="1" t="s">
        <v>2026</v>
      </c>
      <c r="G1230" s="8" t="s">
        <v>1607</v>
      </c>
      <c r="I1230" s="1" t="n">
        <v>0</v>
      </c>
    </row>
    <row r="1231" customFormat="false" ht="15" hidden="false" customHeight="false" outlineLevel="0" collapsed="false">
      <c r="A1231" s="1" t="s">
        <v>2025</v>
      </c>
      <c r="B1231" s="1" t="s">
        <v>1470</v>
      </c>
      <c r="C1231" s="1" t="s">
        <v>1807</v>
      </c>
      <c r="D1231" s="1" t="s">
        <v>1788</v>
      </c>
      <c r="E1231" s="1" t="s">
        <v>2023</v>
      </c>
      <c r="F1231" s="1" t="s">
        <v>2026</v>
      </c>
      <c r="G1231" s="8" t="s">
        <v>1607</v>
      </c>
      <c r="I1231" s="1" t="n">
        <v>0</v>
      </c>
    </row>
    <row r="1232" customFormat="false" ht="15" hidden="false" customHeight="false" outlineLevel="0" collapsed="false">
      <c r="A1232" s="1" t="s">
        <v>2025</v>
      </c>
      <c r="B1232" s="1" t="s">
        <v>1470</v>
      </c>
      <c r="C1232" s="1" t="s">
        <v>1808</v>
      </c>
      <c r="D1232" s="1" t="s">
        <v>1788</v>
      </c>
      <c r="E1232" s="1" t="s">
        <v>2023</v>
      </c>
      <c r="F1232" s="1" t="s">
        <v>2026</v>
      </c>
      <c r="G1232" s="8" t="s">
        <v>1607</v>
      </c>
      <c r="I1232" s="1" t="n">
        <v>0</v>
      </c>
    </row>
    <row r="1233" customFormat="false" ht="15" hidden="false" customHeight="false" outlineLevel="0" collapsed="false">
      <c r="A1233" s="1" t="s">
        <v>2025</v>
      </c>
      <c r="B1233" s="1" t="s">
        <v>1470</v>
      </c>
      <c r="C1233" s="1" t="s">
        <v>1809</v>
      </c>
      <c r="D1233" s="1" t="s">
        <v>1788</v>
      </c>
      <c r="E1233" s="1" t="s">
        <v>2023</v>
      </c>
      <c r="F1233" s="1" t="s">
        <v>2026</v>
      </c>
      <c r="G1233" s="8" t="s">
        <v>1607</v>
      </c>
      <c r="I1233" s="1" t="n">
        <v>0</v>
      </c>
    </row>
    <row r="1234" customFormat="false" ht="15" hidden="false" customHeight="false" outlineLevel="0" collapsed="false">
      <c r="A1234" s="1" t="s">
        <v>2025</v>
      </c>
      <c r="B1234" s="1" t="s">
        <v>1473</v>
      </c>
      <c r="C1234" s="1" t="s">
        <v>1474</v>
      </c>
      <c r="D1234" s="1" t="s">
        <v>1788</v>
      </c>
      <c r="E1234" s="1" t="s">
        <v>2023</v>
      </c>
      <c r="F1234" s="1" t="s">
        <v>2026</v>
      </c>
      <c r="G1234" s="8" t="s">
        <v>1607</v>
      </c>
      <c r="I1234" s="1" t="n">
        <v>22</v>
      </c>
    </row>
    <row r="1235" customFormat="false" ht="15" hidden="false" customHeight="false" outlineLevel="0" collapsed="false">
      <c r="A1235" s="1" t="s">
        <v>2025</v>
      </c>
      <c r="B1235" s="1" t="s">
        <v>1473</v>
      </c>
      <c r="C1235" s="1" t="s">
        <v>1810</v>
      </c>
      <c r="D1235" s="1" t="s">
        <v>1788</v>
      </c>
      <c r="E1235" s="1" t="s">
        <v>2023</v>
      </c>
      <c r="F1235" s="1" t="s">
        <v>2026</v>
      </c>
      <c r="G1235" s="8" t="s">
        <v>1607</v>
      </c>
      <c r="I1235" s="1" t="n">
        <v>4</v>
      </c>
    </row>
    <row r="1236" customFormat="false" ht="15" hidden="false" customHeight="false" outlineLevel="0" collapsed="false">
      <c r="A1236" s="1" t="s">
        <v>2025</v>
      </c>
      <c r="B1236" s="1" t="s">
        <v>1473</v>
      </c>
      <c r="C1236" s="1" t="s">
        <v>1811</v>
      </c>
      <c r="D1236" s="1" t="s">
        <v>1788</v>
      </c>
      <c r="E1236" s="1" t="s">
        <v>2023</v>
      </c>
      <c r="F1236" s="1" t="s">
        <v>2026</v>
      </c>
      <c r="G1236" s="8" t="s">
        <v>1607</v>
      </c>
      <c r="I1236" s="1" t="n">
        <v>4</v>
      </c>
    </row>
    <row r="1237" customFormat="false" ht="15" hidden="false" customHeight="false" outlineLevel="0" collapsed="false">
      <c r="A1237" s="1" t="s">
        <v>2025</v>
      </c>
      <c r="B1237" s="1" t="s">
        <v>1473</v>
      </c>
      <c r="C1237" s="1" t="s">
        <v>1812</v>
      </c>
      <c r="D1237" s="1" t="s">
        <v>1788</v>
      </c>
      <c r="E1237" s="1" t="s">
        <v>2023</v>
      </c>
      <c r="F1237" s="1" t="s">
        <v>2026</v>
      </c>
      <c r="G1237" s="8" t="s">
        <v>1607</v>
      </c>
      <c r="I1237" s="1" t="n">
        <v>4</v>
      </c>
    </row>
    <row r="1238" customFormat="false" ht="15" hidden="false" customHeight="false" outlineLevel="0" collapsed="false">
      <c r="A1238" s="1" t="s">
        <v>2025</v>
      </c>
      <c r="B1238" s="1" t="s">
        <v>1473</v>
      </c>
      <c r="C1238" s="1" t="s">
        <v>1813</v>
      </c>
      <c r="D1238" s="1" t="s">
        <v>1788</v>
      </c>
      <c r="E1238" s="1" t="s">
        <v>2023</v>
      </c>
      <c r="F1238" s="1" t="s">
        <v>2026</v>
      </c>
      <c r="G1238" s="8" t="s">
        <v>1607</v>
      </c>
      <c r="I1238" s="1" t="n">
        <v>4</v>
      </c>
    </row>
    <row r="1239" customFormat="false" ht="15" hidden="false" customHeight="false" outlineLevel="0" collapsed="false">
      <c r="A1239" s="1" t="s">
        <v>2025</v>
      </c>
      <c r="B1239" s="1" t="s">
        <v>1473</v>
      </c>
      <c r="C1239" s="1" t="s">
        <v>1814</v>
      </c>
      <c r="D1239" s="1" t="s">
        <v>1788</v>
      </c>
      <c r="E1239" s="1" t="s">
        <v>2023</v>
      </c>
      <c r="F1239" s="1" t="s">
        <v>2026</v>
      </c>
      <c r="G1239" s="8" t="s">
        <v>1607</v>
      </c>
      <c r="I1239" s="1" t="n">
        <v>3</v>
      </c>
    </row>
    <row r="1240" customFormat="false" ht="15" hidden="false" customHeight="false" outlineLevel="0" collapsed="false">
      <c r="A1240" s="1" t="s">
        <v>2025</v>
      </c>
      <c r="B1240" s="1" t="s">
        <v>1473</v>
      </c>
      <c r="C1240" s="1" t="s">
        <v>1815</v>
      </c>
      <c r="D1240" s="1" t="s">
        <v>1788</v>
      </c>
      <c r="E1240" s="1" t="s">
        <v>2023</v>
      </c>
      <c r="F1240" s="1" t="s">
        <v>2026</v>
      </c>
      <c r="G1240" s="8" t="s">
        <v>1607</v>
      </c>
      <c r="I1240" s="1" t="n">
        <v>4</v>
      </c>
    </row>
    <row r="1241" customFormat="false" ht="15" hidden="false" customHeight="false" outlineLevel="0" collapsed="false">
      <c r="A1241" s="1" t="s">
        <v>2025</v>
      </c>
      <c r="B1241" s="1" t="s">
        <v>1473</v>
      </c>
      <c r="C1241" s="1" t="s">
        <v>1816</v>
      </c>
      <c r="D1241" s="1" t="s">
        <v>1788</v>
      </c>
      <c r="E1241" s="1" t="s">
        <v>2023</v>
      </c>
      <c r="F1241" s="1" t="s">
        <v>2026</v>
      </c>
      <c r="G1241" s="8" t="s">
        <v>1607</v>
      </c>
      <c r="I1241" s="1" t="n">
        <v>4</v>
      </c>
    </row>
    <row r="1242" customFormat="false" ht="15" hidden="false" customHeight="false" outlineLevel="0" collapsed="false">
      <c r="A1242" s="1" t="s">
        <v>2025</v>
      </c>
      <c r="B1242" s="1" t="s">
        <v>1473</v>
      </c>
      <c r="C1242" s="1" t="s">
        <v>1817</v>
      </c>
      <c r="D1242" s="1" t="s">
        <v>1788</v>
      </c>
      <c r="E1242" s="1" t="s">
        <v>2023</v>
      </c>
      <c r="F1242" s="1" t="s">
        <v>2026</v>
      </c>
      <c r="G1242" s="8" t="s">
        <v>1607</v>
      </c>
      <c r="I1242" s="1" t="n">
        <v>4</v>
      </c>
    </row>
    <row r="1243" customFormat="false" ht="15" hidden="false" customHeight="false" outlineLevel="0" collapsed="false">
      <c r="A1243" s="1" t="s">
        <v>2025</v>
      </c>
      <c r="B1243" s="1" t="s">
        <v>1473</v>
      </c>
      <c r="C1243" s="1" t="s">
        <v>1818</v>
      </c>
      <c r="D1243" s="1" t="s">
        <v>1788</v>
      </c>
      <c r="E1243" s="1" t="s">
        <v>2023</v>
      </c>
      <c r="F1243" s="1" t="s">
        <v>2026</v>
      </c>
      <c r="G1243" s="8" t="s">
        <v>1607</v>
      </c>
      <c r="I1243" s="1" t="n">
        <v>4</v>
      </c>
    </row>
    <row r="1244" customFormat="false" ht="15" hidden="false" customHeight="false" outlineLevel="0" collapsed="false">
      <c r="A1244" s="1" t="s">
        <v>2025</v>
      </c>
      <c r="B1244" s="1" t="s">
        <v>1473</v>
      </c>
      <c r="C1244" s="1" t="s">
        <v>1819</v>
      </c>
      <c r="D1244" s="1" t="s">
        <v>1788</v>
      </c>
      <c r="E1244" s="1" t="s">
        <v>2023</v>
      </c>
      <c r="F1244" s="1" t="s">
        <v>2026</v>
      </c>
      <c r="G1244" s="8" t="s">
        <v>1607</v>
      </c>
      <c r="I1244" s="1" t="n">
        <v>3</v>
      </c>
    </row>
    <row r="1245" customFormat="false" ht="15" hidden="false" customHeight="false" outlineLevel="0" collapsed="false">
      <c r="A1245" s="1" t="s">
        <v>2025</v>
      </c>
      <c r="B1245" s="1" t="s">
        <v>1473</v>
      </c>
      <c r="C1245" s="1" t="s">
        <v>1820</v>
      </c>
      <c r="D1245" s="1" t="s">
        <v>1788</v>
      </c>
      <c r="E1245" s="1" t="s">
        <v>2023</v>
      </c>
      <c r="F1245" s="1" t="s">
        <v>2026</v>
      </c>
      <c r="G1245" s="8" t="s">
        <v>1607</v>
      </c>
      <c r="I1245" s="1" t="n">
        <v>3</v>
      </c>
    </row>
    <row r="1246" customFormat="false" ht="15" hidden="false" customHeight="false" outlineLevel="0" collapsed="false">
      <c r="A1246" s="1" t="s">
        <v>2025</v>
      </c>
      <c r="B1246" s="1" t="s">
        <v>1473</v>
      </c>
      <c r="C1246" s="1" t="s">
        <v>1821</v>
      </c>
      <c r="D1246" s="1" t="s">
        <v>1788</v>
      </c>
      <c r="E1246" s="1" t="s">
        <v>2023</v>
      </c>
      <c r="F1246" s="1" t="s">
        <v>2026</v>
      </c>
      <c r="G1246" s="8" t="s">
        <v>1607</v>
      </c>
      <c r="I1246" s="1" t="n">
        <v>3</v>
      </c>
    </row>
    <row r="1247" customFormat="false" ht="15" hidden="false" customHeight="false" outlineLevel="0" collapsed="false">
      <c r="A1247" s="1" t="s">
        <v>2025</v>
      </c>
      <c r="B1247" s="1" t="s">
        <v>1473</v>
      </c>
      <c r="C1247" s="1" t="s">
        <v>1822</v>
      </c>
      <c r="D1247" s="1" t="s">
        <v>1788</v>
      </c>
      <c r="E1247" s="1" t="s">
        <v>2023</v>
      </c>
      <c r="F1247" s="1" t="s">
        <v>2026</v>
      </c>
      <c r="G1247" s="8" t="s">
        <v>1607</v>
      </c>
      <c r="I1247" s="1" t="n">
        <v>3</v>
      </c>
    </row>
    <row r="1248" customFormat="false" ht="15" hidden="false" customHeight="false" outlineLevel="0" collapsed="false">
      <c r="A1248" s="1" t="s">
        <v>2025</v>
      </c>
      <c r="B1248" s="1" t="s">
        <v>1473</v>
      </c>
      <c r="C1248" s="1" t="s">
        <v>1823</v>
      </c>
      <c r="D1248" s="1" t="s">
        <v>1788</v>
      </c>
      <c r="E1248" s="1" t="s">
        <v>2023</v>
      </c>
      <c r="F1248" s="1" t="s">
        <v>2026</v>
      </c>
      <c r="G1248" s="8" t="s">
        <v>1607</v>
      </c>
      <c r="I1248" s="1" t="n">
        <v>3</v>
      </c>
    </row>
    <row r="1249" customFormat="false" ht="15" hidden="false" customHeight="false" outlineLevel="0" collapsed="false">
      <c r="A1249" s="1" t="s">
        <v>2025</v>
      </c>
      <c r="B1249" s="1" t="s">
        <v>1473</v>
      </c>
      <c r="C1249" s="1" t="s">
        <v>1824</v>
      </c>
      <c r="D1249" s="1" t="s">
        <v>1788</v>
      </c>
      <c r="E1249" s="1" t="s">
        <v>2023</v>
      </c>
      <c r="F1249" s="1" t="s">
        <v>2026</v>
      </c>
      <c r="G1249" s="8" t="s">
        <v>1607</v>
      </c>
      <c r="I1249" s="1" t="n">
        <v>3</v>
      </c>
    </row>
    <row r="1250" customFormat="false" ht="15" hidden="false" customHeight="false" outlineLevel="0" collapsed="false">
      <c r="A1250" s="1" t="s">
        <v>2025</v>
      </c>
      <c r="B1250" s="1" t="s">
        <v>1473</v>
      </c>
      <c r="C1250" s="1" t="s">
        <v>1825</v>
      </c>
      <c r="D1250" s="1" t="s">
        <v>1788</v>
      </c>
      <c r="E1250" s="1" t="s">
        <v>2023</v>
      </c>
      <c r="F1250" s="1" t="s">
        <v>2026</v>
      </c>
      <c r="G1250" s="8" t="s">
        <v>1607</v>
      </c>
      <c r="I1250" s="1" t="n">
        <v>3</v>
      </c>
    </row>
    <row r="1251" customFormat="false" ht="15" hidden="false" customHeight="false" outlineLevel="0" collapsed="false">
      <c r="A1251" s="1" t="s">
        <v>2025</v>
      </c>
      <c r="B1251" s="1" t="s">
        <v>1473</v>
      </c>
      <c r="C1251" s="1" t="s">
        <v>1826</v>
      </c>
      <c r="D1251" s="1" t="s">
        <v>1788</v>
      </c>
      <c r="E1251" s="1" t="s">
        <v>2023</v>
      </c>
      <c r="F1251" s="1" t="s">
        <v>2026</v>
      </c>
      <c r="G1251" s="8" t="s">
        <v>1607</v>
      </c>
      <c r="I1251" s="1" t="n">
        <v>3</v>
      </c>
    </row>
    <row r="1252" customFormat="false" ht="15" hidden="false" customHeight="false" outlineLevel="0" collapsed="false">
      <c r="A1252" s="1" t="s">
        <v>2025</v>
      </c>
      <c r="B1252" s="1" t="s">
        <v>1473</v>
      </c>
      <c r="C1252" s="1" t="s">
        <v>1827</v>
      </c>
      <c r="D1252" s="1" t="s">
        <v>1788</v>
      </c>
      <c r="E1252" s="1" t="s">
        <v>2023</v>
      </c>
      <c r="F1252" s="1" t="s">
        <v>2026</v>
      </c>
      <c r="G1252" s="8" t="s">
        <v>1607</v>
      </c>
      <c r="I1252" s="1" t="n">
        <v>3</v>
      </c>
    </row>
    <row r="1253" customFormat="false" ht="15" hidden="false" customHeight="false" outlineLevel="0" collapsed="false">
      <c r="A1253" s="1" t="s">
        <v>2025</v>
      </c>
      <c r="B1253" s="1" t="s">
        <v>1473</v>
      </c>
      <c r="C1253" s="1" t="s">
        <v>1828</v>
      </c>
      <c r="D1253" s="1" t="s">
        <v>1788</v>
      </c>
      <c r="E1253" s="1" t="s">
        <v>2023</v>
      </c>
      <c r="F1253" s="1" t="s">
        <v>2026</v>
      </c>
      <c r="G1253" s="8" t="s">
        <v>1607</v>
      </c>
      <c r="I1253" s="1" t="n">
        <v>3</v>
      </c>
    </row>
    <row r="1254" customFormat="false" ht="15" hidden="false" customHeight="false" outlineLevel="0" collapsed="false">
      <c r="A1254" s="1" t="s">
        <v>2025</v>
      </c>
      <c r="B1254" s="1" t="s">
        <v>1473</v>
      </c>
      <c r="C1254" s="1" t="s">
        <v>1829</v>
      </c>
      <c r="D1254" s="1" t="s">
        <v>1788</v>
      </c>
      <c r="E1254" s="1" t="s">
        <v>2023</v>
      </c>
      <c r="F1254" s="1" t="s">
        <v>2026</v>
      </c>
      <c r="G1254" s="8" t="s">
        <v>1607</v>
      </c>
      <c r="I1254" s="1" t="n">
        <v>3</v>
      </c>
    </row>
    <row r="1255" customFormat="false" ht="15" hidden="false" customHeight="false" outlineLevel="0" collapsed="false">
      <c r="A1255" s="1" t="s">
        <v>2025</v>
      </c>
      <c r="B1255" s="1" t="s">
        <v>1473</v>
      </c>
      <c r="C1255" s="1" t="s">
        <v>1830</v>
      </c>
      <c r="D1255" s="1" t="s">
        <v>1788</v>
      </c>
      <c r="E1255" s="1" t="s">
        <v>2023</v>
      </c>
      <c r="F1255" s="1" t="s">
        <v>2026</v>
      </c>
      <c r="G1255" s="8" t="s">
        <v>1607</v>
      </c>
      <c r="I1255" s="1" t="n">
        <v>3</v>
      </c>
    </row>
    <row r="1256" customFormat="false" ht="15" hidden="false" customHeight="false" outlineLevel="0" collapsed="false">
      <c r="A1256" s="1" t="s">
        <v>2025</v>
      </c>
      <c r="B1256" s="1" t="s">
        <v>1475</v>
      </c>
      <c r="C1256" s="1" t="s">
        <v>1476</v>
      </c>
      <c r="D1256" s="1" t="s">
        <v>1788</v>
      </c>
      <c r="E1256" s="1" t="s">
        <v>2023</v>
      </c>
      <c r="F1256" s="1" t="s">
        <v>2026</v>
      </c>
      <c r="G1256" s="8" t="s">
        <v>1607</v>
      </c>
      <c r="I1256" s="1" t="n">
        <v>3</v>
      </c>
    </row>
    <row r="1257" customFormat="false" ht="15" hidden="false" customHeight="false" outlineLevel="0" collapsed="false">
      <c r="A1257" s="1" t="s">
        <v>2025</v>
      </c>
      <c r="B1257" s="1" t="s">
        <v>1477</v>
      </c>
      <c r="C1257" s="1" t="s">
        <v>1478</v>
      </c>
      <c r="D1257" s="1" t="s">
        <v>1788</v>
      </c>
      <c r="E1257" s="1" t="s">
        <v>2023</v>
      </c>
      <c r="F1257" s="1" t="s">
        <v>2026</v>
      </c>
      <c r="G1257" s="8" t="s">
        <v>1607</v>
      </c>
      <c r="I1257" s="1" t="n">
        <v>3</v>
      </c>
    </row>
    <row r="1258" customFormat="false" ht="15" hidden="false" customHeight="false" outlineLevel="0" collapsed="false">
      <c r="A1258" s="1" t="s">
        <v>2025</v>
      </c>
      <c r="B1258" s="1" t="s">
        <v>1477</v>
      </c>
      <c r="C1258" s="1" t="s">
        <v>1831</v>
      </c>
      <c r="D1258" s="1" t="s">
        <v>1788</v>
      </c>
      <c r="E1258" s="1" t="s">
        <v>2023</v>
      </c>
      <c r="F1258" s="1" t="s">
        <v>2026</v>
      </c>
      <c r="G1258" s="8" t="s">
        <v>1607</v>
      </c>
      <c r="I1258" s="1" t="n">
        <v>5</v>
      </c>
    </row>
    <row r="1259" customFormat="false" ht="15" hidden="false" customHeight="false" outlineLevel="0" collapsed="false">
      <c r="A1259" s="1" t="s">
        <v>2025</v>
      </c>
      <c r="B1259" s="1" t="s">
        <v>1477</v>
      </c>
      <c r="C1259" s="1" t="s">
        <v>1832</v>
      </c>
      <c r="D1259" s="1" t="s">
        <v>1788</v>
      </c>
      <c r="E1259" s="1" t="s">
        <v>2023</v>
      </c>
      <c r="F1259" s="1" t="s">
        <v>2026</v>
      </c>
      <c r="G1259" s="8" t="s">
        <v>1607</v>
      </c>
      <c r="I1259" s="1" t="n">
        <v>4</v>
      </c>
    </row>
    <row r="1260" customFormat="false" ht="15" hidden="false" customHeight="false" outlineLevel="0" collapsed="false">
      <c r="A1260" s="1" t="s">
        <v>2025</v>
      </c>
      <c r="B1260" s="1" t="s">
        <v>1479</v>
      </c>
      <c r="C1260" s="1" t="s">
        <v>1480</v>
      </c>
      <c r="D1260" s="1" t="s">
        <v>1788</v>
      </c>
      <c r="E1260" s="1" t="s">
        <v>2023</v>
      </c>
      <c r="F1260" s="1" t="s">
        <v>2026</v>
      </c>
      <c r="G1260" s="8" t="s">
        <v>1607</v>
      </c>
      <c r="I1260" s="1" t="n">
        <v>3</v>
      </c>
    </row>
    <row r="1261" customFormat="false" ht="15" hidden="false" customHeight="false" outlineLevel="0" collapsed="false">
      <c r="A1261" s="1" t="s">
        <v>2025</v>
      </c>
      <c r="B1261" s="1" t="s">
        <v>1481</v>
      </c>
      <c r="C1261" s="1" t="s">
        <v>1482</v>
      </c>
      <c r="D1261" s="1" t="s">
        <v>1788</v>
      </c>
      <c r="E1261" s="1" t="s">
        <v>2023</v>
      </c>
      <c r="F1261" s="1" t="s">
        <v>2026</v>
      </c>
      <c r="G1261" s="8" t="s">
        <v>1607</v>
      </c>
      <c r="I1261" s="1" t="n">
        <v>5</v>
      </c>
    </row>
    <row r="1262" customFormat="false" ht="15" hidden="false" customHeight="false" outlineLevel="0" collapsed="false">
      <c r="A1262" s="1" t="s">
        <v>2025</v>
      </c>
      <c r="B1262" s="1" t="s">
        <v>1483</v>
      </c>
      <c r="C1262" s="1" t="s">
        <v>1484</v>
      </c>
      <c r="D1262" s="1" t="s">
        <v>1788</v>
      </c>
      <c r="E1262" s="1" t="s">
        <v>2023</v>
      </c>
      <c r="F1262" s="1" t="s">
        <v>2026</v>
      </c>
      <c r="G1262" s="8" t="s">
        <v>1607</v>
      </c>
      <c r="I1262" s="1" t="n">
        <v>3</v>
      </c>
    </row>
    <row r="1263" customFormat="false" ht="15" hidden="false" customHeight="false" outlineLevel="0" collapsed="false">
      <c r="A1263" s="1" t="s">
        <v>2025</v>
      </c>
      <c r="B1263" s="1" t="s">
        <v>1485</v>
      </c>
      <c r="C1263" s="1" t="s">
        <v>1486</v>
      </c>
      <c r="D1263" s="1" t="s">
        <v>1788</v>
      </c>
      <c r="E1263" s="1" t="s">
        <v>2023</v>
      </c>
      <c r="F1263" s="1" t="s">
        <v>2026</v>
      </c>
      <c r="G1263" s="8" t="s">
        <v>1607</v>
      </c>
      <c r="I1263" s="1" t="n">
        <v>5</v>
      </c>
    </row>
    <row r="1264" customFormat="false" ht="15" hidden="false" customHeight="false" outlineLevel="0" collapsed="false">
      <c r="A1264" s="1" t="s">
        <v>2025</v>
      </c>
      <c r="B1264" s="1" t="s">
        <v>1487</v>
      </c>
      <c r="C1264" s="1" t="s">
        <v>1488</v>
      </c>
      <c r="D1264" s="1" t="s">
        <v>1788</v>
      </c>
      <c r="E1264" s="1" t="s">
        <v>2023</v>
      </c>
      <c r="F1264" s="1" t="s">
        <v>2026</v>
      </c>
      <c r="G1264" s="8" t="s">
        <v>1607</v>
      </c>
      <c r="I1264" s="1" t="n">
        <v>3</v>
      </c>
    </row>
    <row r="1265" customFormat="false" ht="15" hidden="false" customHeight="false" outlineLevel="0" collapsed="false">
      <c r="A1265" s="1" t="s">
        <v>2025</v>
      </c>
      <c r="B1265" s="1" t="s">
        <v>1487</v>
      </c>
      <c r="C1265" s="1" t="s">
        <v>1833</v>
      </c>
      <c r="D1265" s="1" t="s">
        <v>1788</v>
      </c>
      <c r="E1265" s="1" t="s">
        <v>2023</v>
      </c>
      <c r="F1265" s="1" t="s">
        <v>2026</v>
      </c>
      <c r="G1265" s="8" t="s">
        <v>1607</v>
      </c>
      <c r="I1265" s="1" t="n">
        <v>3</v>
      </c>
    </row>
    <row r="1266" customFormat="false" ht="15" hidden="false" customHeight="false" outlineLevel="0" collapsed="false">
      <c r="A1266" s="1" t="s">
        <v>2025</v>
      </c>
      <c r="B1266" s="1" t="s">
        <v>1487</v>
      </c>
      <c r="C1266" s="1" t="s">
        <v>1834</v>
      </c>
      <c r="D1266" s="1" t="s">
        <v>1788</v>
      </c>
      <c r="E1266" s="1" t="s">
        <v>2023</v>
      </c>
      <c r="F1266" s="1" t="s">
        <v>2026</v>
      </c>
      <c r="G1266" s="8" t="s">
        <v>1607</v>
      </c>
      <c r="I1266" s="1" t="n">
        <v>3</v>
      </c>
    </row>
    <row r="1267" customFormat="false" ht="15" hidden="false" customHeight="false" outlineLevel="0" collapsed="false">
      <c r="A1267" s="1" t="s">
        <v>2025</v>
      </c>
      <c r="B1267" s="1" t="s">
        <v>1487</v>
      </c>
      <c r="C1267" s="1" t="s">
        <v>1835</v>
      </c>
      <c r="D1267" s="1" t="s">
        <v>1788</v>
      </c>
      <c r="E1267" s="1" t="s">
        <v>2023</v>
      </c>
      <c r="F1267" s="1" t="s">
        <v>2026</v>
      </c>
      <c r="G1267" s="8" t="s">
        <v>1607</v>
      </c>
      <c r="I1267" s="1" t="n">
        <v>3</v>
      </c>
    </row>
    <row r="1268" customFormat="false" ht="15" hidden="false" customHeight="false" outlineLevel="0" collapsed="false">
      <c r="A1268" s="1" t="s">
        <v>2025</v>
      </c>
      <c r="B1268" s="1" t="s">
        <v>1487</v>
      </c>
      <c r="C1268" s="1" t="s">
        <v>1836</v>
      </c>
      <c r="D1268" s="1" t="s">
        <v>1788</v>
      </c>
      <c r="E1268" s="1" t="s">
        <v>2023</v>
      </c>
      <c r="F1268" s="1" t="s">
        <v>2026</v>
      </c>
      <c r="G1268" s="8" t="s">
        <v>1607</v>
      </c>
      <c r="I1268" s="1" t="n">
        <v>3</v>
      </c>
    </row>
    <row r="1269" customFormat="false" ht="15" hidden="false" customHeight="false" outlineLevel="0" collapsed="false">
      <c r="A1269" s="1" t="s">
        <v>2025</v>
      </c>
      <c r="B1269" s="1" t="s">
        <v>1487</v>
      </c>
      <c r="C1269" s="1" t="s">
        <v>1837</v>
      </c>
      <c r="D1269" s="1" t="s">
        <v>1788</v>
      </c>
      <c r="E1269" s="1" t="s">
        <v>2023</v>
      </c>
      <c r="F1269" s="1" t="s">
        <v>2026</v>
      </c>
      <c r="G1269" s="8" t="s">
        <v>1607</v>
      </c>
      <c r="I1269" s="1" t="n">
        <v>3</v>
      </c>
    </row>
    <row r="1270" customFormat="false" ht="15" hidden="false" customHeight="false" outlineLevel="0" collapsed="false">
      <c r="A1270" s="1" t="s">
        <v>2025</v>
      </c>
      <c r="B1270" s="1" t="s">
        <v>1487</v>
      </c>
      <c r="C1270" s="1" t="s">
        <v>1838</v>
      </c>
      <c r="D1270" s="1" t="s">
        <v>1788</v>
      </c>
      <c r="E1270" s="1" t="s">
        <v>2023</v>
      </c>
      <c r="F1270" s="1" t="s">
        <v>2026</v>
      </c>
      <c r="G1270" s="8" t="s">
        <v>1607</v>
      </c>
      <c r="I1270" s="1" t="n">
        <v>3</v>
      </c>
    </row>
    <row r="1271" customFormat="false" ht="15" hidden="false" customHeight="false" outlineLevel="0" collapsed="false">
      <c r="A1271" s="1" t="s">
        <v>2025</v>
      </c>
      <c r="B1271" s="1" t="s">
        <v>1487</v>
      </c>
      <c r="C1271" s="1" t="s">
        <v>1839</v>
      </c>
      <c r="D1271" s="1" t="s">
        <v>1788</v>
      </c>
      <c r="E1271" s="1" t="s">
        <v>2023</v>
      </c>
      <c r="F1271" s="1" t="s">
        <v>2026</v>
      </c>
      <c r="G1271" s="8" t="s">
        <v>1607</v>
      </c>
      <c r="I1271" s="1" t="n">
        <v>3</v>
      </c>
    </row>
    <row r="1272" customFormat="false" ht="15" hidden="false" customHeight="false" outlineLevel="0" collapsed="false">
      <c r="A1272" s="1" t="s">
        <v>2025</v>
      </c>
      <c r="B1272" s="1" t="s">
        <v>1487</v>
      </c>
      <c r="C1272" s="1" t="s">
        <v>1840</v>
      </c>
      <c r="D1272" s="1" t="s">
        <v>1788</v>
      </c>
      <c r="E1272" s="1" t="s">
        <v>2023</v>
      </c>
      <c r="F1272" s="1" t="s">
        <v>2026</v>
      </c>
      <c r="G1272" s="8" t="s">
        <v>1607</v>
      </c>
      <c r="I1272" s="1" t="n">
        <v>3</v>
      </c>
    </row>
    <row r="1273" customFormat="false" ht="15" hidden="false" customHeight="false" outlineLevel="0" collapsed="false">
      <c r="A1273" s="1" t="s">
        <v>2025</v>
      </c>
      <c r="B1273" s="1" t="s">
        <v>1489</v>
      </c>
      <c r="C1273" s="1" t="s">
        <v>1490</v>
      </c>
      <c r="D1273" s="1" t="s">
        <v>1788</v>
      </c>
      <c r="E1273" s="1" t="s">
        <v>2023</v>
      </c>
      <c r="F1273" s="1" t="s">
        <v>2026</v>
      </c>
      <c r="G1273" s="8" t="s">
        <v>1607</v>
      </c>
      <c r="I1273" s="1" t="n">
        <v>3</v>
      </c>
    </row>
    <row r="1274" customFormat="false" ht="15" hidden="false" customHeight="false" outlineLevel="0" collapsed="false">
      <c r="A1274" s="1" t="s">
        <v>2025</v>
      </c>
      <c r="B1274" s="1" t="s">
        <v>1489</v>
      </c>
      <c r="C1274" s="1" t="s">
        <v>1841</v>
      </c>
      <c r="D1274" s="1" t="s">
        <v>1788</v>
      </c>
      <c r="E1274" s="1" t="s">
        <v>2023</v>
      </c>
      <c r="F1274" s="1" t="s">
        <v>2026</v>
      </c>
      <c r="G1274" s="8" t="s">
        <v>1607</v>
      </c>
      <c r="I1274" s="1" t="n">
        <v>3</v>
      </c>
    </row>
    <row r="1275" customFormat="false" ht="15" hidden="false" customHeight="false" outlineLevel="0" collapsed="false">
      <c r="A1275" s="1" t="s">
        <v>2025</v>
      </c>
      <c r="B1275" s="1" t="s">
        <v>1489</v>
      </c>
      <c r="C1275" s="1" t="s">
        <v>1842</v>
      </c>
      <c r="D1275" s="1" t="s">
        <v>1788</v>
      </c>
      <c r="E1275" s="1" t="s">
        <v>2023</v>
      </c>
      <c r="F1275" s="1" t="s">
        <v>2026</v>
      </c>
      <c r="G1275" s="8" t="s">
        <v>1607</v>
      </c>
      <c r="I1275" s="1" t="n">
        <v>3</v>
      </c>
    </row>
    <row r="1276" customFormat="false" ht="15" hidden="false" customHeight="false" outlineLevel="0" collapsed="false">
      <c r="A1276" s="1" t="s">
        <v>2025</v>
      </c>
      <c r="B1276" s="1" t="s">
        <v>1489</v>
      </c>
      <c r="C1276" s="1" t="s">
        <v>1843</v>
      </c>
      <c r="D1276" s="1" t="s">
        <v>1788</v>
      </c>
      <c r="E1276" s="1" t="s">
        <v>2023</v>
      </c>
      <c r="F1276" s="1" t="s">
        <v>2026</v>
      </c>
      <c r="G1276" s="8" t="s">
        <v>1607</v>
      </c>
      <c r="I1276" s="1" t="n">
        <v>3</v>
      </c>
    </row>
    <row r="1277" customFormat="false" ht="15" hidden="false" customHeight="false" outlineLevel="0" collapsed="false">
      <c r="A1277" s="1" t="s">
        <v>2025</v>
      </c>
      <c r="B1277" s="1" t="s">
        <v>1491</v>
      </c>
      <c r="C1277" s="1" t="s">
        <v>1492</v>
      </c>
      <c r="D1277" s="1" t="s">
        <v>1788</v>
      </c>
      <c r="E1277" s="1" t="s">
        <v>2023</v>
      </c>
      <c r="F1277" s="1" t="s">
        <v>2026</v>
      </c>
      <c r="G1277" s="8" t="s">
        <v>1607</v>
      </c>
      <c r="I1277" s="1" t="n">
        <v>5</v>
      </c>
    </row>
    <row r="1278" customFormat="false" ht="15" hidden="false" customHeight="false" outlineLevel="0" collapsed="false">
      <c r="A1278" s="1" t="s">
        <v>2025</v>
      </c>
      <c r="B1278" s="1" t="s">
        <v>1493</v>
      </c>
      <c r="C1278" s="1" t="s">
        <v>1494</v>
      </c>
      <c r="D1278" s="1" t="s">
        <v>1788</v>
      </c>
      <c r="E1278" s="1" t="s">
        <v>2023</v>
      </c>
      <c r="F1278" s="1" t="s">
        <v>2026</v>
      </c>
      <c r="G1278" s="8" t="s">
        <v>1632</v>
      </c>
      <c r="H1278" s="1" t="s">
        <v>1398</v>
      </c>
      <c r="I1278" s="1" t="n">
        <v>8</v>
      </c>
    </row>
    <row r="1279" customFormat="false" ht="15" hidden="false" customHeight="false" outlineLevel="0" collapsed="false">
      <c r="A1279" s="1" t="s">
        <v>2025</v>
      </c>
      <c r="B1279" s="1" t="s">
        <v>1495</v>
      </c>
      <c r="C1279" s="1" t="s">
        <v>1496</v>
      </c>
      <c r="D1279" s="1" t="s">
        <v>1788</v>
      </c>
      <c r="E1279" s="1" t="s">
        <v>2023</v>
      </c>
      <c r="F1279" s="1" t="s">
        <v>2026</v>
      </c>
      <c r="G1279" s="8" t="s">
        <v>1632</v>
      </c>
      <c r="H1279" s="1" t="s">
        <v>1398</v>
      </c>
      <c r="I1279" s="1" t="n">
        <v>4</v>
      </c>
    </row>
    <row r="1280" customFormat="false" ht="15" hidden="false" customHeight="false" outlineLevel="0" collapsed="false">
      <c r="A1280" s="1" t="s">
        <v>2025</v>
      </c>
      <c r="B1280" s="1" t="s">
        <v>1497</v>
      </c>
      <c r="C1280" s="1" t="s">
        <v>1498</v>
      </c>
      <c r="D1280" s="1" t="s">
        <v>1788</v>
      </c>
      <c r="E1280" s="1" t="s">
        <v>2023</v>
      </c>
      <c r="F1280" s="1" t="s">
        <v>2026</v>
      </c>
      <c r="G1280" s="8" t="s">
        <v>1632</v>
      </c>
      <c r="H1280" s="1" t="s">
        <v>897</v>
      </c>
      <c r="I1280" s="1" t="n">
        <v>4</v>
      </c>
    </row>
    <row r="1281" customFormat="false" ht="15" hidden="false" customHeight="false" outlineLevel="0" collapsed="false">
      <c r="A1281" s="1" t="s">
        <v>2025</v>
      </c>
      <c r="B1281" s="1" t="s">
        <v>648</v>
      </c>
      <c r="C1281" s="1" t="s">
        <v>649</v>
      </c>
      <c r="D1281" s="1" t="s">
        <v>1788</v>
      </c>
      <c r="E1281" s="1" t="s">
        <v>2023</v>
      </c>
      <c r="F1281" s="1" t="s">
        <v>2026</v>
      </c>
      <c r="G1281" s="8" t="s">
        <v>1607</v>
      </c>
      <c r="I1281" s="1" t="n">
        <v>428</v>
      </c>
    </row>
    <row r="1282" customFormat="false" ht="15" hidden="false" customHeight="false" outlineLevel="0" collapsed="false">
      <c r="A1282" s="1" t="s">
        <v>2025</v>
      </c>
      <c r="B1282" s="1" t="s">
        <v>653</v>
      </c>
      <c r="C1282" s="1" t="s">
        <v>654</v>
      </c>
      <c r="D1282" s="1" t="s">
        <v>1788</v>
      </c>
      <c r="E1282" s="1" t="s">
        <v>2023</v>
      </c>
      <c r="F1282" s="1" t="s">
        <v>2026</v>
      </c>
      <c r="G1282" s="8" t="s">
        <v>1607</v>
      </c>
      <c r="I1282" s="1" t="n">
        <v>14</v>
      </c>
    </row>
    <row r="1283" customFormat="false" ht="15" hidden="false" customHeight="false" outlineLevel="0" collapsed="false">
      <c r="A1283" s="1" t="s">
        <v>2025</v>
      </c>
      <c r="B1283" s="1" t="s">
        <v>653</v>
      </c>
      <c r="C1283" s="1" t="s">
        <v>1844</v>
      </c>
      <c r="D1283" s="1" t="s">
        <v>1788</v>
      </c>
      <c r="E1283" s="1" t="s">
        <v>2023</v>
      </c>
      <c r="F1283" s="1" t="s">
        <v>2026</v>
      </c>
      <c r="G1283" s="8" t="s">
        <v>1607</v>
      </c>
      <c r="I1283" s="1" t="n">
        <v>9</v>
      </c>
    </row>
    <row r="1284" customFormat="false" ht="15" hidden="false" customHeight="false" outlineLevel="0" collapsed="false">
      <c r="A1284" s="1" t="s">
        <v>2025</v>
      </c>
      <c r="B1284" s="1" t="s">
        <v>653</v>
      </c>
      <c r="C1284" s="1" t="s">
        <v>1845</v>
      </c>
      <c r="D1284" s="1" t="s">
        <v>1788</v>
      </c>
      <c r="E1284" s="1" t="s">
        <v>2023</v>
      </c>
      <c r="F1284" s="1" t="s">
        <v>2026</v>
      </c>
      <c r="G1284" s="8" t="s">
        <v>1607</v>
      </c>
      <c r="I1284" s="1" t="n">
        <v>11</v>
      </c>
    </row>
    <row r="1285" customFormat="false" ht="15" hidden="false" customHeight="false" outlineLevel="0" collapsed="false">
      <c r="A1285" s="1" t="s">
        <v>2025</v>
      </c>
      <c r="B1285" s="1" t="s">
        <v>653</v>
      </c>
      <c r="C1285" s="1" t="s">
        <v>1846</v>
      </c>
      <c r="D1285" s="1" t="s">
        <v>1788</v>
      </c>
      <c r="E1285" s="1" t="s">
        <v>2023</v>
      </c>
      <c r="F1285" s="1" t="s">
        <v>2026</v>
      </c>
      <c r="G1285" s="8" t="s">
        <v>1607</v>
      </c>
      <c r="I1285" s="1" t="n">
        <v>9</v>
      </c>
    </row>
    <row r="1286" customFormat="false" ht="15" hidden="false" customHeight="false" outlineLevel="0" collapsed="false">
      <c r="A1286" s="1" t="s">
        <v>2025</v>
      </c>
      <c r="B1286" s="1" t="s">
        <v>653</v>
      </c>
      <c r="C1286" s="1" t="s">
        <v>1847</v>
      </c>
      <c r="D1286" s="1" t="s">
        <v>1788</v>
      </c>
      <c r="E1286" s="1" t="s">
        <v>2023</v>
      </c>
      <c r="F1286" s="1" t="s">
        <v>2026</v>
      </c>
      <c r="G1286" s="8" t="s">
        <v>1607</v>
      </c>
      <c r="I1286" s="1" t="n">
        <v>10</v>
      </c>
    </row>
    <row r="1287" customFormat="false" ht="15" hidden="false" customHeight="false" outlineLevel="0" collapsed="false">
      <c r="A1287" s="1" t="s">
        <v>2025</v>
      </c>
      <c r="B1287" s="1" t="s">
        <v>653</v>
      </c>
      <c r="C1287" s="1" t="s">
        <v>1848</v>
      </c>
      <c r="D1287" s="1" t="s">
        <v>1788</v>
      </c>
      <c r="E1287" s="1" t="s">
        <v>2023</v>
      </c>
      <c r="F1287" s="1" t="s">
        <v>2026</v>
      </c>
      <c r="G1287" s="8" t="s">
        <v>1607</v>
      </c>
      <c r="I1287" s="1" t="n">
        <v>7</v>
      </c>
    </row>
    <row r="1288" customFormat="false" ht="15" hidden="false" customHeight="false" outlineLevel="0" collapsed="false">
      <c r="A1288" s="1" t="s">
        <v>2025</v>
      </c>
      <c r="B1288" s="1" t="s">
        <v>653</v>
      </c>
      <c r="C1288" s="1" t="s">
        <v>1849</v>
      </c>
      <c r="D1288" s="1" t="s">
        <v>1788</v>
      </c>
      <c r="E1288" s="1" t="s">
        <v>2023</v>
      </c>
      <c r="F1288" s="1" t="s">
        <v>2026</v>
      </c>
      <c r="G1288" s="8" t="s">
        <v>1607</v>
      </c>
      <c r="I1288" s="1" t="n">
        <v>8</v>
      </c>
    </row>
    <row r="1289" customFormat="false" ht="15" hidden="false" customHeight="false" outlineLevel="0" collapsed="false">
      <c r="A1289" s="1" t="s">
        <v>2025</v>
      </c>
      <c r="B1289" s="1" t="s">
        <v>655</v>
      </c>
      <c r="C1289" s="1" t="s">
        <v>656</v>
      </c>
      <c r="D1289" s="1" t="s">
        <v>1788</v>
      </c>
      <c r="E1289" s="1" t="s">
        <v>2023</v>
      </c>
      <c r="F1289" s="1" t="s">
        <v>2026</v>
      </c>
      <c r="G1289" s="8" t="s">
        <v>1607</v>
      </c>
      <c r="I1289" s="1" t="n">
        <v>8</v>
      </c>
    </row>
    <row r="1290" customFormat="false" ht="15" hidden="false" customHeight="false" outlineLevel="0" collapsed="false">
      <c r="A1290" s="1" t="s">
        <v>2025</v>
      </c>
      <c r="B1290" s="1" t="s">
        <v>657</v>
      </c>
      <c r="C1290" s="1" t="s">
        <v>658</v>
      </c>
      <c r="D1290" s="1" t="s">
        <v>1788</v>
      </c>
      <c r="E1290" s="1" t="s">
        <v>2023</v>
      </c>
      <c r="F1290" s="1" t="s">
        <v>2026</v>
      </c>
      <c r="G1290" s="8" t="s">
        <v>1607</v>
      </c>
      <c r="I1290" s="1" t="n">
        <v>10</v>
      </c>
    </row>
    <row r="1291" customFormat="false" ht="15" hidden="false" customHeight="false" outlineLevel="0" collapsed="false">
      <c r="A1291" s="1" t="s">
        <v>2025</v>
      </c>
      <c r="B1291" s="1" t="s">
        <v>659</v>
      </c>
      <c r="C1291" s="1" t="s">
        <v>660</v>
      </c>
      <c r="D1291" s="1" t="s">
        <v>1788</v>
      </c>
      <c r="E1291" s="1" t="s">
        <v>2023</v>
      </c>
      <c r="F1291" s="1" t="s">
        <v>2026</v>
      </c>
      <c r="G1291" s="8" t="s">
        <v>1607</v>
      </c>
      <c r="I1291" s="1" t="n">
        <v>9</v>
      </c>
    </row>
    <row r="1292" customFormat="false" ht="15" hidden="false" customHeight="false" outlineLevel="0" collapsed="false">
      <c r="A1292" s="1" t="s">
        <v>2025</v>
      </c>
      <c r="B1292" s="1" t="s">
        <v>659</v>
      </c>
      <c r="C1292" s="1" t="s">
        <v>1850</v>
      </c>
      <c r="D1292" s="1" t="s">
        <v>1788</v>
      </c>
      <c r="E1292" s="1" t="s">
        <v>2023</v>
      </c>
      <c r="F1292" s="1" t="s">
        <v>2026</v>
      </c>
      <c r="G1292" s="8" t="s">
        <v>1607</v>
      </c>
      <c r="I1292" s="1" t="n">
        <v>265</v>
      </c>
    </row>
    <row r="1293" customFormat="false" ht="15" hidden="false" customHeight="false" outlineLevel="0" collapsed="false">
      <c r="A1293" s="1" t="s">
        <v>2025</v>
      </c>
      <c r="B1293" s="1" t="s">
        <v>659</v>
      </c>
      <c r="C1293" s="1" t="s">
        <v>1851</v>
      </c>
      <c r="D1293" s="1" t="s">
        <v>1788</v>
      </c>
      <c r="E1293" s="1" t="s">
        <v>2023</v>
      </c>
      <c r="F1293" s="1" t="s">
        <v>2026</v>
      </c>
      <c r="G1293" s="8" t="s">
        <v>1607</v>
      </c>
      <c r="I1293" s="1" t="n">
        <v>270</v>
      </c>
    </row>
    <row r="1294" customFormat="false" ht="15" hidden="false" customHeight="false" outlineLevel="0" collapsed="false">
      <c r="A1294" s="1" t="s">
        <v>2025</v>
      </c>
      <c r="B1294" s="1" t="s">
        <v>659</v>
      </c>
      <c r="C1294" s="1" t="s">
        <v>1852</v>
      </c>
      <c r="D1294" s="1" t="s">
        <v>1788</v>
      </c>
      <c r="E1294" s="1" t="s">
        <v>2023</v>
      </c>
      <c r="F1294" s="1" t="s">
        <v>2026</v>
      </c>
      <c r="G1294" s="8" t="s">
        <v>1607</v>
      </c>
      <c r="I1294" s="1" t="n">
        <v>5</v>
      </c>
    </row>
    <row r="1295" customFormat="false" ht="15" hidden="false" customHeight="false" outlineLevel="0" collapsed="false">
      <c r="A1295" s="1" t="s">
        <v>2025</v>
      </c>
      <c r="B1295" s="1" t="s">
        <v>661</v>
      </c>
      <c r="C1295" s="1" t="s">
        <v>662</v>
      </c>
      <c r="D1295" s="1" t="s">
        <v>1788</v>
      </c>
      <c r="E1295" s="1" t="s">
        <v>2023</v>
      </c>
      <c r="F1295" s="1" t="s">
        <v>2026</v>
      </c>
      <c r="G1295" s="8" t="s">
        <v>1632</v>
      </c>
      <c r="H1295" s="1" t="s">
        <v>663</v>
      </c>
      <c r="I1295" s="1" t="n">
        <v>268</v>
      </c>
    </row>
    <row r="1296" customFormat="false" ht="15" hidden="false" customHeight="false" outlineLevel="0" collapsed="false">
      <c r="A1296" s="1" t="s">
        <v>2025</v>
      </c>
      <c r="B1296" s="1" t="s">
        <v>664</v>
      </c>
      <c r="C1296" s="1" t="s">
        <v>665</v>
      </c>
      <c r="D1296" s="1" t="s">
        <v>1788</v>
      </c>
      <c r="E1296" s="1" t="s">
        <v>2023</v>
      </c>
      <c r="F1296" s="1" t="s">
        <v>2026</v>
      </c>
      <c r="G1296" s="8" t="s">
        <v>1632</v>
      </c>
      <c r="H1296" s="1" t="s">
        <v>663</v>
      </c>
      <c r="I1296" s="1" t="n">
        <v>262</v>
      </c>
    </row>
    <row r="1297" customFormat="false" ht="15" hidden="false" customHeight="false" outlineLevel="0" collapsed="false">
      <c r="A1297" s="1" t="s">
        <v>2025</v>
      </c>
      <c r="B1297" s="1" t="s">
        <v>666</v>
      </c>
      <c r="C1297" s="1" t="s">
        <v>667</v>
      </c>
      <c r="D1297" s="1" t="s">
        <v>1788</v>
      </c>
      <c r="E1297" s="1" t="s">
        <v>2023</v>
      </c>
      <c r="F1297" s="1" t="s">
        <v>2026</v>
      </c>
      <c r="G1297" s="8" t="s">
        <v>1632</v>
      </c>
      <c r="H1297" s="1" t="s">
        <v>663</v>
      </c>
      <c r="I1297" s="1" t="n">
        <v>278</v>
      </c>
    </row>
    <row r="1298" customFormat="false" ht="15" hidden="false" customHeight="false" outlineLevel="0" collapsed="false">
      <c r="A1298" s="1" t="s">
        <v>2025</v>
      </c>
      <c r="B1298" s="1" t="s">
        <v>668</v>
      </c>
      <c r="C1298" s="1" t="s">
        <v>669</v>
      </c>
      <c r="D1298" s="1" t="s">
        <v>1788</v>
      </c>
      <c r="E1298" s="1" t="s">
        <v>2023</v>
      </c>
      <c r="F1298" s="1" t="s">
        <v>2026</v>
      </c>
      <c r="G1298" s="8" t="s">
        <v>1607</v>
      </c>
      <c r="I1298" s="1" t="n">
        <v>528</v>
      </c>
    </row>
    <row r="1299" customFormat="false" ht="15" hidden="false" customHeight="false" outlineLevel="0" collapsed="false">
      <c r="A1299" s="1" t="s">
        <v>2025</v>
      </c>
      <c r="B1299" s="1" t="s">
        <v>670</v>
      </c>
      <c r="C1299" s="1" t="s">
        <v>671</v>
      </c>
      <c r="D1299" s="1" t="s">
        <v>1788</v>
      </c>
      <c r="E1299" s="1" t="s">
        <v>2023</v>
      </c>
      <c r="F1299" s="1" t="s">
        <v>2026</v>
      </c>
      <c r="G1299" s="8" t="s">
        <v>1607</v>
      </c>
      <c r="I1299" s="1" t="n">
        <v>1097</v>
      </c>
    </row>
    <row r="1300" customFormat="false" ht="15" hidden="false" customHeight="false" outlineLevel="0" collapsed="false">
      <c r="A1300" s="1" t="s">
        <v>2025</v>
      </c>
      <c r="B1300" s="1" t="s">
        <v>672</v>
      </c>
      <c r="C1300" s="1" t="s">
        <v>673</v>
      </c>
      <c r="D1300" s="1" t="s">
        <v>1788</v>
      </c>
      <c r="E1300" s="1" t="s">
        <v>2023</v>
      </c>
      <c r="F1300" s="1" t="s">
        <v>2026</v>
      </c>
      <c r="G1300" s="8" t="s">
        <v>1607</v>
      </c>
      <c r="I1300" s="1" t="n">
        <v>1095</v>
      </c>
    </row>
    <row r="1301" customFormat="false" ht="15" hidden="false" customHeight="false" outlineLevel="0" collapsed="false">
      <c r="A1301" s="1" t="s">
        <v>2025</v>
      </c>
      <c r="B1301" s="1" t="s">
        <v>674</v>
      </c>
      <c r="C1301" s="1" t="s">
        <v>675</v>
      </c>
      <c r="D1301" s="1" t="s">
        <v>1788</v>
      </c>
      <c r="E1301" s="1" t="s">
        <v>2023</v>
      </c>
      <c r="F1301" s="1" t="s">
        <v>2026</v>
      </c>
      <c r="G1301" s="8" t="s">
        <v>1607</v>
      </c>
      <c r="I1301" s="1" t="n">
        <v>832</v>
      </c>
    </row>
    <row r="1302" customFormat="false" ht="15" hidden="false" customHeight="false" outlineLevel="0" collapsed="false">
      <c r="A1302" s="1" t="s">
        <v>2025</v>
      </c>
      <c r="B1302" s="1" t="s">
        <v>676</v>
      </c>
      <c r="C1302" s="1" t="s">
        <v>677</v>
      </c>
      <c r="D1302" s="1" t="s">
        <v>1788</v>
      </c>
      <c r="E1302" s="1" t="s">
        <v>2023</v>
      </c>
      <c r="F1302" s="1" t="s">
        <v>2026</v>
      </c>
      <c r="G1302" s="8" t="s">
        <v>1607</v>
      </c>
      <c r="I1302" s="1" t="n">
        <v>815</v>
      </c>
    </row>
    <row r="1303" customFormat="false" ht="15" hidden="false" customHeight="false" outlineLevel="0" collapsed="false">
      <c r="A1303" s="1" t="s">
        <v>2025</v>
      </c>
      <c r="B1303" s="1" t="s">
        <v>678</v>
      </c>
      <c r="C1303" s="1" t="s">
        <v>679</v>
      </c>
      <c r="D1303" s="1" t="s">
        <v>1788</v>
      </c>
      <c r="E1303" s="1" t="s">
        <v>2023</v>
      </c>
      <c r="F1303" s="1" t="s">
        <v>2026</v>
      </c>
      <c r="G1303" s="8" t="s">
        <v>1607</v>
      </c>
      <c r="I1303" s="1" t="n">
        <v>571</v>
      </c>
    </row>
    <row r="1304" customFormat="false" ht="15" hidden="false" customHeight="false" outlineLevel="0" collapsed="false">
      <c r="A1304" s="1" t="s">
        <v>2025</v>
      </c>
      <c r="B1304" s="1" t="s">
        <v>680</v>
      </c>
      <c r="C1304" s="1" t="s">
        <v>681</v>
      </c>
      <c r="D1304" s="1" t="s">
        <v>1788</v>
      </c>
      <c r="E1304" s="1" t="s">
        <v>2023</v>
      </c>
      <c r="F1304" s="1" t="s">
        <v>2026</v>
      </c>
      <c r="G1304" s="8" t="s">
        <v>1607</v>
      </c>
      <c r="I1304" s="1" t="n">
        <v>843</v>
      </c>
    </row>
    <row r="1305" customFormat="false" ht="15" hidden="false" customHeight="false" outlineLevel="0" collapsed="false">
      <c r="A1305" s="1" t="s">
        <v>2025</v>
      </c>
      <c r="B1305" s="1" t="s">
        <v>682</v>
      </c>
      <c r="C1305" s="1" t="s">
        <v>683</v>
      </c>
      <c r="D1305" s="1" t="s">
        <v>1788</v>
      </c>
      <c r="E1305" s="1" t="s">
        <v>2023</v>
      </c>
      <c r="F1305" s="1" t="s">
        <v>2026</v>
      </c>
      <c r="G1305" s="8" t="s">
        <v>1607</v>
      </c>
      <c r="I1305" s="1" t="n">
        <v>550</v>
      </c>
    </row>
    <row r="1306" customFormat="false" ht="15" hidden="false" customHeight="false" outlineLevel="0" collapsed="false">
      <c r="A1306" s="1" t="s">
        <v>2025</v>
      </c>
      <c r="B1306" s="1" t="s">
        <v>684</v>
      </c>
      <c r="C1306" s="1" t="s">
        <v>685</v>
      </c>
      <c r="D1306" s="1" t="s">
        <v>1788</v>
      </c>
      <c r="E1306" s="1" t="s">
        <v>2023</v>
      </c>
      <c r="F1306" s="1" t="s">
        <v>2026</v>
      </c>
      <c r="G1306" s="8" t="s">
        <v>1607</v>
      </c>
      <c r="I1306" s="1" t="n">
        <v>9</v>
      </c>
    </row>
    <row r="1307" customFormat="false" ht="15" hidden="false" customHeight="false" outlineLevel="0" collapsed="false">
      <c r="A1307" s="1" t="s">
        <v>2025</v>
      </c>
      <c r="B1307" s="1" t="s">
        <v>686</v>
      </c>
      <c r="C1307" s="1" t="s">
        <v>687</v>
      </c>
      <c r="D1307" s="1" t="s">
        <v>1788</v>
      </c>
      <c r="E1307" s="1" t="s">
        <v>2023</v>
      </c>
      <c r="F1307" s="1" t="s">
        <v>2026</v>
      </c>
      <c r="G1307" s="8" t="s">
        <v>1607</v>
      </c>
      <c r="I1307" s="1" t="n">
        <v>6</v>
      </c>
    </row>
    <row r="1308" customFormat="false" ht="15" hidden="false" customHeight="false" outlineLevel="0" collapsed="false">
      <c r="A1308" s="1" t="s">
        <v>2025</v>
      </c>
      <c r="B1308" s="1" t="s">
        <v>686</v>
      </c>
      <c r="C1308" s="1" t="s">
        <v>1853</v>
      </c>
      <c r="D1308" s="1" t="s">
        <v>1788</v>
      </c>
      <c r="E1308" s="1" t="s">
        <v>2023</v>
      </c>
      <c r="F1308" s="1" t="s">
        <v>2026</v>
      </c>
      <c r="G1308" s="8" t="s">
        <v>1607</v>
      </c>
      <c r="I1308" s="1" t="n">
        <v>6</v>
      </c>
    </row>
    <row r="1309" customFormat="false" ht="15" hidden="false" customHeight="false" outlineLevel="0" collapsed="false">
      <c r="A1309" s="1" t="s">
        <v>2025</v>
      </c>
      <c r="B1309" s="1" t="s">
        <v>686</v>
      </c>
      <c r="C1309" s="1" t="s">
        <v>1854</v>
      </c>
      <c r="D1309" s="1" t="s">
        <v>1788</v>
      </c>
      <c r="E1309" s="1" t="s">
        <v>2023</v>
      </c>
      <c r="F1309" s="1" t="s">
        <v>2026</v>
      </c>
      <c r="G1309" s="8" t="s">
        <v>1607</v>
      </c>
      <c r="I1309" s="1" t="n">
        <v>4</v>
      </c>
    </row>
    <row r="1310" customFormat="false" ht="15" hidden="false" customHeight="false" outlineLevel="0" collapsed="false">
      <c r="A1310" s="1" t="s">
        <v>2025</v>
      </c>
      <c r="B1310" s="1" t="s">
        <v>688</v>
      </c>
      <c r="C1310" s="1" t="s">
        <v>689</v>
      </c>
      <c r="D1310" s="1" t="s">
        <v>1788</v>
      </c>
      <c r="E1310" s="1" t="s">
        <v>2023</v>
      </c>
      <c r="F1310" s="1" t="s">
        <v>2026</v>
      </c>
      <c r="G1310" s="8" t="s">
        <v>1607</v>
      </c>
      <c r="I1310" s="1" t="n">
        <v>6</v>
      </c>
    </row>
    <row r="1311" customFormat="false" ht="15" hidden="false" customHeight="false" outlineLevel="0" collapsed="false">
      <c r="A1311" s="1" t="s">
        <v>2025</v>
      </c>
      <c r="B1311" s="1" t="s">
        <v>690</v>
      </c>
      <c r="C1311" s="1" t="s">
        <v>691</v>
      </c>
      <c r="D1311" s="1" t="s">
        <v>1788</v>
      </c>
      <c r="E1311" s="1" t="s">
        <v>2023</v>
      </c>
      <c r="F1311" s="1" t="s">
        <v>2026</v>
      </c>
      <c r="G1311" s="8" t="s">
        <v>1607</v>
      </c>
      <c r="I1311" s="1" t="n">
        <v>5</v>
      </c>
    </row>
    <row r="1312" customFormat="false" ht="15" hidden="false" customHeight="false" outlineLevel="0" collapsed="false">
      <c r="A1312" s="1" t="s">
        <v>2025</v>
      </c>
      <c r="B1312" s="1" t="s">
        <v>692</v>
      </c>
      <c r="C1312" s="1" t="s">
        <v>693</v>
      </c>
      <c r="D1312" s="1" t="s">
        <v>1788</v>
      </c>
      <c r="E1312" s="1" t="s">
        <v>2023</v>
      </c>
      <c r="F1312" s="1" t="s">
        <v>2026</v>
      </c>
      <c r="G1312" s="8" t="s">
        <v>1607</v>
      </c>
      <c r="I1312" s="1" t="n">
        <v>4</v>
      </c>
    </row>
    <row r="1313" customFormat="false" ht="15" hidden="false" customHeight="false" outlineLevel="0" collapsed="false">
      <c r="A1313" s="1" t="s">
        <v>2025</v>
      </c>
      <c r="B1313" s="1" t="s">
        <v>694</v>
      </c>
      <c r="C1313" s="1" t="s">
        <v>695</v>
      </c>
      <c r="D1313" s="1" t="s">
        <v>1788</v>
      </c>
      <c r="E1313" s="1" t="s">
        <v>2023</v>
      </c>
      <c r="F1313" s="1" t="s">
        <v>2026</v>
      </c>
      <c r="G1313" s="8" t="s">
        <v>1607</v>
      </c>
      <c r="I1313" s="1" t="n">
        <v>562</v>
      </c>
    </row>
    <row r="1314" customFormat="false" ht="15" hidden="false" customHeight="false" outlineLevel="0" collapsed="false">
      <c r="A1314" s="1" t="s">
        <v>2025</v>
      </c>
      <c r="B1314" s="1" t="s">
        <v>696</v>
      </c>
      <c r="C1314" s="1" t="s">
        <v>697</v>
      </c>
      <c r="D1314" s="1" t="s">
        <v>1788</v>
      </c>
      <c r="E1314" s="1" t="s">
        <v>2023</v>
      </c>
      <c r="F1314" s="1" t="s">
        <v>2026</v>
      </c>
      <c r="G1314" s="8" t="s">
        <v>1607</v>
      </c>
      <c r="I1314" s="1" t="n">
        <v>573</v>
      </c>
    </row>
    <row r="1315" customFormat="false" ht="15" hidden="false" customHeight="false" outlineLevel="0" collapsed="false">
      <c r="A1315" s="1" t="s">
        <v>2025</v>
      </c>
      <c r="B1315" s="1" t="s">
        <v>698</v>
      </c>
      <c r="C1315" s="1" t="s">
        <v>699</v>
      </c>
      <c r="D1315" s="1" t="s">
        <v>1788</v>
      </c>
      <c r="E1315" s="1" t="s">
        <v>2023</v>
      </c>
      <c r="F1315" s="1" t="s">
        <v>2026</v>
      </c>
      <c r="G1315" s="8" t="s">
        <v>1607</v>
      </c>
      <c r="I1315" s="1" t="n">
        <v>543</v>
      </c>
    </row>
    <row r="1316" customFormat="false" ht="15" hidden="false" customHeight="false" outlineLevel="0" collapsed="false">
      <c r="A1316" s="1" t="s">
        <v>2025</v>
      </c>
      <c r="B1316" s="1" t="s">
        <v>700</v>
      </c>
      <c r="C1316" s="1" t="s">
        <v>701</v>
      </c>
      <c r="D1316" s="1" t="s">
        <v>1788</v>
      </c>
      <c r="E1316" s="1" t="s">
        <v>2023</v>
      </c>
      <c r="F1316" s="1" t="s">
        <v>2026</v>
      </c>
      <c r="G1316" s="8" t="s">
        <v>1607</v>
      </c>
      <c r="I1316" s="1" t="n">
        <v>552</v>
      </c>
    </row>
    <row r="1317" customFormat="false" ht="15" hidden="false" customHeight="false" outlineLevel="0" collapsed="false">
      <c r="A1317" s="1" t="s">
        <v>2025</v>
      </c>
      <c r="B1317" s="1" t="s">
        <v>702</v>
      </c>
      <c r="C1317" s="1" t="s">
        <v>703</v>
      </c>
      <c r="D1317" s="1" t="s">
        <v>1788</v>
      </c>
      <c r="E1317" s="1" t="s">
        <v>2023</v>
      </c>
      <c r="F1317" s="1" t="s">
        <v>2026</v>
      </c>
      <c r="G1317" s="8" t="s">
        <v>1607</v>
      </c>
      <c r="I1317" s="1" t="n">
        <v>10</v>
      </c>
    </row>
    <row r="1318" customFormat="false" ht="15" hidden="false" customHeight="false" outlineLevel="0" collapsed="false">
      <c r="A1318" s="1" t="s">
        <v>2025</v>
      </c>
      <c r="B1318" s="1" t="s">
        <v>704</v>
      </c>
      <c r="C1318" s="1" t="s">
        <v>705</v>
      </c>
      <c r="D1318" s="1" t="s">
        <v>1788</v>
      </c>
      <c r="E1318" s="1" t="s">
        <v>2023</v>
      </c>
      <c r="F1318" s="1" t="s">
        <v>2026</v>
      </c>
      <c r="G1318" s="8" t="s">
        <v>1607</v>
      </c>
      <c r="I1318" s="1" t="n">
        <v>6</v>
      </c>
    </row>
    <row r="1319" customFormat="false" ht="15" hidden="false" customHeight="false" outlineLevel="0" collapsed="false">
      <c r="A1319" s="1" t="s">
        <v>2025</v>
      </c>
      <c r="B1319" s="1" t="s">
        <v>706</v>
      </c>
      <c r="C1319" s="1" t="s">
        <v>707</v>
      </c>
      <c r="D1319" s="1" t="s">
        <v>1788</v>
      </c>
      <c r="E1319" s="1" t="s">
        <v>2023</v>
      </c>
      <c r="F1319" s="1" t="s">
        <v>2026</v>
      </c>
      <c r="G1319" s="8" t="s">
        <v>1607</v>
      </c>
      <c r="I1319" s="1" t="n">
        <v>626</v>
      </c>
    </row>
    <row r="1320" customFormat="false" ht="15" hidden="false" customHeight="false" outlineLevel="0" collapsed="false">
      <c r="A1320" s="1" t="s">
        <v>2025</v>
      </c>
      <c r="B1320" s="1" t="s">
        <v>60</v>
      </c>
      <c r="C1320" s="1" t="s">
        <v>708</v>
      </c>
      <c r="D1320" s="1" t="s">
        <v>1788</v>
      </c>
      <c r="E1320" s="1" t="s">
        <v>2023</v>
      </c>
      <c r="F1320" s="1" t="s">
        <v>2026</v>
      </c>
      <c r="G1320" s="8" t="s">
        <v>1607</v>
      </c>
      <c r="I1320" s="1" t="n">
        <v>567</v>
      </c>
    </row>
    <row r="1321" customFormat="false" ht="15" hidden="false" customHeight="false" outlineLevel="0" collapsed="false">
      <c r="A1321" s="1" t="s">
        <v>2025</v>
      </c>
      <c r="B1321" s="1" t="s">
        <v>709</v>
      </c>
      <c r="C1321" s="1" t="s">
        <v>710</v>
      </c>
      <c r="D1321" s="1" t="s">
        <v>1788</v>
      </c>
      <c r="E1321" s="1" t="s">
        <v>2023</v>
      </c>
      <c r="F1321" s="1" t="s">
        <v>2026</v>
      </c>
      <c r="G1321" s="8" t="s">
        <v>1607</v>
      </c>
      <c r="I1321" s="1" t="n">
        <v>560</v>
      </c>
    </row>
    <row r="1322" customFormat="false" ht="15" hidden="false" customHeight="false" outlineLevel="0" collapsed="false">
      <c r="A1322" s="1" t="s">
        <v>2025</v>
      </c>
      <c r="B1322" s="1" t="s">
        <v>711</v>
      </c>
      <c r="C1322" s="1" t="s">
        <v>712</v>
      </c>
      <c r="D1322" s="1" t="s">
        <v>1788</v>
      </c>
      <c r="E1322" s="1" t="s">
        <v>2023</v>
      </c>
      <c r="F1322" s="1" t="s">
        <v>2026</v>
      </c>
      <c r="G1322" s="8" t="s">
        <v>1607</v>
      </c>
      <c r="I1322" s="1" t="n">
        <v>587</v>
      </c>
    </row>
    <row r="1323" customFormat="false" ht="15" hidden="false" customHeight="false" outlineLevel="0" collapsed="false">
      <c r="A1323" s="1" t="s">
        <v>2025</v>
      </c>
      <c r="B1323" s="1" t="s">
        <v>1269</v>
      </c>
      <c r="C1323" s="1" t="s">
        <v>1270</v>
      </c>
      <c r="D1323" s="1" t="s">
        <v>1788</v>
      </c>
      <c r="E1323" s="1" t="s">
        <v>2023</v>
      </c>
      <c r="F1323" s="1" t="s">
        <v>2026</v>
      </c>
      <c r="G1323" s="8" t="s">
        <v>1607</v>
      </c>
      <c r="I1323" s="1" t="n">
        <v>15</v>
      </c>
    </row>
    <row r="1324" customFormat="false" ht="15" hidden="false" customHeight="false" outlineLevel="0" collapsed="false">
      <c r="A1324" s="1" t="s">
        <v>2025</v>
      </c>
      <c r="B1324" s="1" t="s">
        <v>1269</v>
      </c>
      <c r="C1324" s="1" t="s">
        <v>1855</v>
      </c>
      <c r="D1324" s="1" t="s">
        <v>1788</v>
      </c>
      <c r="E1324" s="1" t="s">
        <v>2023</v>
      </c>
      <c r="F1324" s="1" t="s">
        <v>2026</v>
      </c>
      <c r="G1324" s="8" t="s">
        <v>1607</v>
      </c>
      <c r="I1324" s="1" t="n">
        <v>7</v>
      </c>
    </row>
    <row r="1325" customFormat="false" ht="15" hidden="false" customHeight="false" outlineLevel="0" collapsed="false">
      <c r="A1325" s="1" t="s">
        <v>2025</v>
      </c>
      <c r="B1325" s="1" t="s">
        <v>1269</v>
      </c>
      <c r="C1325" s="1" t="s">
        <v>1856</v>
      </c>
      <c r="D1325" s="1" t="s">
        <v>1788</v>
      </c>
      <c r="E1325" s="1" t="s">
        <v>2023</v>
      </c>
      <c r="F1325" s="1" t="s">
        <v>2026</v>
      </c>
      <c r="G1325" s="8" t="s">
        <v>1607</v>
      </c>
      <c r="I1325" s="1" t="n">
        <v>6</v>
      </c>
    </row>
    <row r="1326" customFormat="false" ht="15" hidden="false" customHeight="false" outlineLevel="0" collapsed="false">
      <c r="A1326" s="1" t="s">
        <v>2025</v>
      </c>
      <c r="B1326" s="1" t="s">
        <v>1269</v>
      </c>
      <c r="C1326" s="1" t="s">
        <v>1857</v>
      </c>
      <c r="D1326" s="1" t="s">
        <v>1788</v>
      </c>
      <c r="E1326" s="1" t="s">
        <v>2023</v>
      </c>
      <c r="F1326" s="1" t="s">
        <v>2026</v>
      </c>
      <c r="G1326" s="8" t="s">
        <v>1607</v>
      </c>
      <c r="I1326" s="1" t="n">
        <v>4</v>
      </c>
    </row>
    <row r="1327" customFormat="false" ht="15" hidden="false" customHeight="false" outlineLevel="0" collapsed="false">
      <c r="A1327" s="1" t="s">
        <v>2025</v>
      </c>
      <c r="B1327" s="1" t="s">
        <v>1269</v>
      </c>
      <c r="C1327" s="1" t="s">
        <v>1858</v>
      </c>
      <c r="D1327" s="1" t="s">
        <v>1788</v>
      </c>
      <c r="E1327" s="1" t="s">
        <v>2023</v>
      </c>
      <c r="F1327" s="1" t="s">
        <v>2026</v>
      </c>
      <c r="G1327" s="8" t="s">
        <v>1607</v>
      </c>
      <c r="I1327" s="1" t="n">
        <v>5</v>
      </c>
    </row>
    <row r="1328" customFormat="false" ht="15" hidden="false" customHeight="false" outlineLevel="0" collapsed="false">
      <c r="A1328" s="1" t="s">
        <v>2025</v>
      </c>
      <c r="B1328" s="1" t="s">
        <v>1269</v>
      </c>
      <c r="C1328" s="1" t="s">
        <v>1859</v>
      </c>
      <c r="D1328" s="1" t="s">
        <v>1788</v>
      </c>
      <c r="E1328" s="1" t="s">
        <v>2023</v>
      </c>
      <c r="F1328" s="1" t="s">
        <v>2026</v>
      </c>
      <c r="G1328" s="8" t="s">
        <v>1607</v>
      </c>
      <c r="I1328" s="1" t="n">
        <v>5</v>
      </c>
    </row>
    <row r="1329" customFormat="false" ht="15" hidden="false" customHeight="false" outlineLevel="0" collapsed="false">
      <c r="A1329" s="1" t="s">
        <v>2025</v>
      </c>
      <c r="B1329" s="1" t="s">
        <v>1269</v>
      </c>
      <c r="C1329" s="1" t="s">
        <v>1860</v>
      </c>
      <c r="D1329" s="1" t="s">
        <v>1788</v>
      </c>
      <c r="E1329" s="1" t="s">
        <v>2023</v>
      </c>
      <c r="F1329" s="1" t="s">
        <v>2026</v>
      </c>
      <c r="G1329" s="8" t="s">
        <v>1607</v>
      </c>
      <c r="I1329" s="1" t="n">
        <v>4</v>
      </c>
    </row>
    <row r="1330" customFormat="false" ht="15" hidden="false" customHeight="false" outlineLevel="0" collapsed="false">
      <c r="A1330" s="1" t="s">
        <v>2025</v>
      </c>
      <c r="B1330" s="1" t="s">
        <v>1269</v>
      </c>
      <c r="C1330" s="1" t="s">
        <v>1861</v>
      </c>
      <c r="D1330" s="1" t="s">
        <v>1788</v>
      </c>
      <c r="E1330" s="1" t="s">
        <v>2023</v>
      </c>
      <c r="F1330" s="1" t="s">
        <v>2026</v>
      </c>
      <c r="G1330" s="8" t="s">
        <v>1607</v>
      </c>
      <c r="I1330" s="1" t="n">
        <v>3</v>
      </c>
    </row>
    <row r="1331" customFormat="false" ht="15" hidden="false" customHeight="false" outlineLevel="0" collapsed="false">
      <c r="A1331" s="1" t="s">
        <v>2025</v>
      </c>
      <c r="B1331" s="1" t="s">
        <v>1269</v>
      </c>
      <c r="C1331" s="1" t="s">
        <v>1862</v>
      </c>
      <c r="D1331" s="1" t="s">
        <v>1788</v>
      </c>
      <c r="E1331" s="1" t="s">
        <v>2023</v>
      </c>
      <c r="F1331" s="1" t="s">
        <v>2026</v>
      </c>
      <c r="G1331" s="8" t="s">
        <v>1607</v>
      </c>
      <c r="I1331" s="1" t="n">
        <v>3</v>
      </c>
    </row>
    <row r="1332" customFormat="false" ht="15" hidden="false" customHeight="false" outlineLevel="0" collapsed="false">
      <c r="A1332" s="1" t="s">
        <v>2025</v>
      </c>
      <c r="B1332" s="1" t="s">
        <v>1269</v>
      </c>
      <c r="C1332" s="1" t="s">
        <v>1863</v>
      </c>
      <c r="D1332" s="1" t="s">
        <v>1788</v>
      </c>
      <c r="E1332" s="1" t="s">
        <v>2023</v>
      </c>
      <c r="F1332" s="1" t="s">
        <v>2026</v>
      </c>
      <c r="G1332" s="8" t="s">
        <v>1607</v>
      </c>
      <c r="I1332" s="1" t="n">
        <v>4</v>
      </c>
    </row>
    <row r="1333" customFormat="false" ht="15" hidden="false" customHeight="false" outlineLevel="0" collapsed="false">
      <c r="A1333" s="1" t="s">
        <v>2025</v>
      </c>
      <c r="B1333" s="1" t="s">
        <v>1269</v>
      </c>
      <c r="C1333" s="1" t="s">
        <v>1864</v>
      </c>
      <c r="D1333" s="1" t="s">
        <v>1788</v>
      </c>
      <c r="E1333" s="1" t="s">
        <v>2023</v>
      </c>
      <c r="F1333" s="1" t="s">
        <v>2026</v>
      </c>
      <c r="G1333" s="8" t="s">
        <v>1607</v>
      </c>
      <c r="I1333" s="1" t="n">
        <v>5</v>
      </c>
    </row>
    <row r="1334" customFormat="false" ht="15" hidden="false" customHeight="false" outlineLevel="0" collapsed="false">
      <c r="A1334" s="1" t="s">
        <v>2025</v>
      </c>
      <c r="B1334" s="1" t="s">
        <v>1269</v>
      </c>
      <c r="C1334" s="1" t="s">
        <v>1865</v>
      </c>
      <c r="D1334" s="1" t="s">
        <v>1788</v>
      </c>
      <c r="E1334" s="1" t="s">
        <v>2023</v>
      </c>
      <c r="F1334" s="1" t="s">
        <v>2026</v>
      </c>
      <c r="G1334" s="8" t="s">
        <v>1607</v>
      </c>
      <c r="I1334" s="1" t="n">
        <v>3</v>
      </c>
    </row>
    <row r="1335" customFormat="false" ht="15" hidden="false" customHeight="false" outlineLevel="0" collapsed="false">
      <c r="A1335" s="1" t="s">
        <v>2025</v>
      </c>
      <c r="B1335" s="1" t="s">
        <v>1269</v>
      </c>
      <c r="C1335" s="1" t="s">
        <v>1866</v>
      </c>
      <c r="D1335" s="1" t="s">
        <v>1788</v>
      </c>
      <c r="E1335" s="1" t="s">
        <v>2023</v>
      </c>
      <c r="F1335" s="1" t="s">
        <v>2026</v>
      </c>
      <c r="G1335" s="8" t="s">
        <v>1607</v>
      </c>
      <c r="I1335" s="1" t="n">
        <v>3</v>
      </c>
    </row>
    <row r="1336" customFormat="false" ht="15" hidden="false" customHeight="false" outlineLevel="0" collapsed="false">
      <c r="A1336" s="1" t="s">
        <v>2025</v>
      </c>
      <c r="B1336" s="1" t="s">
        <v>1269</v>
      </c>
      <c r="C1336" s="1" t="s">
        <v>1867</v>
      </c>
      <c r="D1336" s="1" t="s">
        <v>1788</v>
      </c>
      <c r="E1336" s="1" t="s">
        <v>2023</v>
      </c>
      <c r="F1336" s="1" t="s">
        <v>2026</v>
      </c>
      <c r="G1336" s="8" t="s">
        <v>1607</v>
      </c>
      <c r="I1336" s="1" t="n">
        <v>3</v>
      </c>
    </row>
    <row r="1337" customFormat="false" ht="15" hidden="false" customHeight="false" outlineLevel="0" collapsed="false">
      <c r="A1337" s="1" t="s">
        <v>2025</v>
      </c>
      <c r="B1337" s="1" t="s">
        <v>1269</v>
      </c>
      <c r="C1337" s="1" t="s">
        <v>1868</v>
      </c>
      <c r="D1337" s="1" t="s">
        <v>1788</v>
      </c>
      <c r="E1337" s="1" t="s">
        <v>2023</v>
      </c>
      <c r="F1337" s="1" t="s">
        <v>2026</v>
      </c>
      <c r="G1337" s="8" t="s">
        <v>1607</v>
      </c>
      <c r="I1337" s="1" t="n">
        <v>4</v>
      </c>
    </row>
    <row r="1338" customFormat="false" ht="15" hidden="false" customHeight="false" outlineLevel="0" collapsed="false">
      <c r="A1338" s="1" t="s">
        <v>2025</v>
      </c>
      <c r="B1338" s="1" t="s">
        <v>1269</v>
      </c>
      <c r="C1338" s="1" t="s">
        <v>1869</v>
      </c>
      <c r="D1338" s="1" t="s">
        <v>1788</v>
      </c>
      <c r="E1338" s="1" t="s">
        <v>2023</v>
      </c>
      <c r="F1338" s="1" t="s">
        <v>2026</v>
      </c>
      <c r="G1338" s="8" t="s">
        <v>1607</v>
      </c>
      <c r="I1338" s="1" t="n">
        <v>4</v>
      </c>
    </row>
    <row r="1339" customFormat="false" ht="15" hidden="false" customHeight="false" outlineLevel="0" collapsed="false">
      <c r="A1339" s="1" t="s">
        <v>2025</v>
      </c>
      <c r="B1339" s="1" t="s">
        <v>1269</v>
      </c>
      <c r="C1339" s="1" t="s">
        <v>1870</v>
      </c>
      <c r="D1339" s="1" t="s">
        <v>1788</v>
      </c>
      <c r="E1339" s="1" t="s">
        <v>2023</v>
      </c>
      <c r="F1339" s="1" t="s">
        <v>2026</v>
      </c>
      <c r="G1339" s="8" t="s">
        <v>1607</v>
      </c>
      <c r="I1339" s="1" t="n">
        <v>3</v>
      </c>
    </row>
    <row r="1340" customFormat="false" ht="15" hidden="false" customHeight="false" outlineLevel="0" collapsed="false">
      <c r="A1340" s="1" t="s">
        <v>2025</v>
      </c>
      <c r="B1340" s="1" t="s">
        <v>1269</v>
      </c>
      <c r="C1340" s="1" t="s">
        <v>1871</v>
      </c>
      <c r="D1340" s="1" t="s">
        <v>1788</v>
      </c>
      <c r="E1340" s="1" t="s">
        <v>2023</v>
      </c>
      <c r="F1340" s="1" t="s">
        <v>2026</v>
      </c>
      <c r="G1340" s="8" t="s">
        <v>1607</v>
      </c>
      <c r="I1340" s="1" t="n">
        <v>4</v>
      </c>
    </row>
    <row r="1341" customFormat="false" ht="15" hidden="false" customHeight="false" outlineLevel="0" collapsed="false">
      <c r="A1341" s="1" t="s">
        <v>2025</v>
      </c>
      <c r="B1341" s="1" t="s">
        <v>1269</v>
      </c>
      <c r="C1341" s="1" t="s">
        <v>1872</v>
      </c>
      <c r="D1341" s="1" t="s">
        <v>1788</v>
      </c>
      <c r="E1341" s="1" t="s">
        <v>2023</v>
      </c>
      <c r="F1341" s="1" t="s">
        <v>2026</v>
      </c>
      <c r="G1341" s="8" t="s">
        <v>1607</v>
      </c>
      <c r="I1341" s="1" t="n">
        <v>3</v>
      </c>
    </row>
    <row r="1342" customFormat="false" ht="15" hidden="false" customHeight="false" outlineLevel="0" collapsed="false">
      <c r="A1342" s="1" t="s">
        <v>2025</v>
      </c>
      <c r="B1342" s="1" t="s">
        <v>1269</v>
      </c>
      <c r="C1342" s="1" t="s">
        <v>1873</v>
      </c>
      <c r="D1342" s="1" t="s">
        <v>1788</v>
      </c>
      <c r="E1342" s="1" t="s">
        <v>2023</v>
      </c>
      <c r="F1342" s="1" t="s">
        <v>2026</v>
      </c>
      <c r="G1342" s="8" t="s">
        <v>1607</v>
      </c>
      <c r="I1342" s="1" t="n">
        <v>4</v>
      </c>
    </row>
    <row r="1343" customFormat="false" ht="15" hidden="false" customHeight="false" outlineLevel="0" collapsed="false">
      <c r="A1343" s="1" t="s">
        <v>2025</v>
      </c>
      <c r="B1343" s="1" t="s">
        <v>1269</v>
      </c>
      <c r="C1343" s="1" t="s">
        <v>1874</v>
      </c>
      <c r="D1343" s="1" t="s">
        <v>1788</v>
      </c>
      <c r="E1343" s="1" t="s">
        <v>2023</v>
      </c>
      <c r="F1343" s="1" t="s">
        <v>2026</v>
      </c>
      <c r="G1343" s="8" t="s">
        <v>1607</v>
      </c>
      <c r="I1343" s="1" t="n">
        <v>4</v>
      </c>
    </row>
    <row r="1344" customFormat="false" ht="15" hidden="false" customHeight="false" outlineLevel="0" collapsed="false">
      <c r="A1344" s="1" t="s">
        <v>2025</v>
      </c>
      <c r="B1344" s="1" t="s">
        <v>1269</v>
      </c>
      <c r="C1344" s="1" t="s">
        <v>1875</v>
      </c>
      <c r="D1344" s="1" t="s">
        <v>1788</v>
      </c>
      <c r="E1344" s="1" t="s">
        <v>2023</v>
      </c>
      <c r="F1344" s="1" t="s">
        <v>2026</v>
      </c>
      <c r="G1344" s="8" t="s">
        <v>1607</v>
      </c>
      <c r="I1344" s="1" t="n">
        <v>3</v>
      </c>
    </row>
    <row r="1345" customFormat="false" ht="15" hidden="false" customHeight="false" outlineLevel="0" collapsed="false">
      <c r="A1345" s="1" t="s">
        <v>2025</v>
      </c>
      <c r="B1345" s="1" t="s">
        <v>1269</v>
      </c>
      <c r="C1345" s="1" t="s">
        <v>1876</v>
      </c>
      <c r="D1345" s="1" t="s">
        <v>1788</v>
      </c>
      <c r="E1345" s="1" t="s">
        <v>2023</v>
      </c>
      <c r="F1345" s="1" t="s">
        <v>2026</v>
      </c>
      <c r="G1345" s="8" t="s">
        <v>1607</v>
      </c>
      <c r="I1345" s="1" t="n">
        <v>3</v>
      </c>
    </row>
    <row r="1346" customFormat="false" ht="15" hidden="false" customHeight="false" outlineLevel="0" collapsed="false">
      <c r="A1346" s="1" t="s">
        <v>2025</v>
      </c>
      <c r="B1346" s="1" t="s">
        <v>1269</v>
      </c>
      <c r="C1346" s="1" t="s">
        <v>1877</v>
      </c>
      <c r="D1346" s="1" t="s">
        <v>1788</v>
      </c>
      <c r="E1346" s="1" t="s">
        <v>2023</v>
      </c>
      <c r="F1346" s="1" t="s">
        <v>2026</v>
      </c>
      <c r="G1346" s="8" t="s">
        <v>1607</v>
      </c>
      <c r="I1346" s="1" t="n">
        <v>3</v>
      </c>
    </row>
    <row r="1347" customFormat="false" ht="15" hidden="false" customHeight="false" outlineLevel="0" collapsed="false">
      <c r="A1347" s="1" t="s">
        <v>2025</v>
      </c>
      <c r="B1347" s="1" t="s">
        <v>1269</v>
      </c>
      <c r="C1347" s="1" t="s">
        <v>1878</v>
      </c>
      <c r="D1347" s="1" t="s">
        <v>1788</v>
      </c>
      <c r="E1347" s="1" t="s">
        <v>2023</v>
      </c>
      <c r="F1347" s="1" t="s">
        <v>2026</v>
      </c>
      <c r="G1347" s="8" t="s">
        <v>1607</v>
      </c>
      <c r="I1347" s="1" t="n">
        <v>3</v>
      </c>
    </row>
    <row r="1348" customFormat="false" ht="15" hidden="false" customHeight="false" outlineLevel="0" collapsed="false">
      <c r="A1348" s="1" t="s">
        <v>2025</v>
      </c>
      <c r="B1348" s="1" t="s">
        <v>1269</v>
      </c>
      <c r="C1348" s="1" t="s">
        <v>1879</v>
      </c>
      <c r="D1348" s="1" t="s">
        <v>1788</v>
      </c>
      <c r="E1348" s="1" t="s">
        <v>2023</v>
      </c>
      <c r="F1348" s="1" t="s">
        <v>2026</v>
      </c>
      <c r="G1348" s="8" t="s">
        <v>1607</v>
      </c>
      <c r="I1348" s="1" t="n">
        <v>4</v>
      </c>
    </row>
    <row r="1349" customFormat="false" ht="15" hidden="false" customHeight="false" outlineLevel="0" collapsed="false">
      <c r="A1349" s="1" t="s">
        <v>2025</v>
      </c>
      <c r="B1349" s="1" t="s">
        <v>1269</v>
      </c>
      <c r="C1349" s="1" t="s">
        <v>1880</v>
      </c>
      <c r="D1349" s="1" t="s">
        <v>1788</v>
      </c>
      <c r="E1349" s="1" t="s">
        <v>2023</v>
      </c>
      <c r="F1349" s="1" t="s">
        <v>2026</v>
      </c>
      <c r="G1349" s="8" t="s">
        <v>1607</v>
      </c>
      <c r="I1349" s="1" t="n">
        <v>3</v>
      </c>
    </row>
    <row r="1350" customFormat="false" ht="15" hidden="false" customHeight="false" outlineLevel="0" collapsed="false">
      <c r="A1350" s="1" t="s">
        <v>2025</v>
      </c>
      <c r="B1350" s="1" t="s">
        <v>1269</v>
      </c>
      <c r="C1350" s="1" t="s">
        <v>1881</v>
      </c>
      <c r="D1350" s="1" t="s">
        <v>1788</v>
      </c>
      <c r="E1350" s="1" t="s">
        <v>2023</v>
      </c>
      <c r="F1350" s="1" t="s">
        <v>2026</v>
      </c>
      <c r="G1350" s="8" t="s">
        <v>1607</v>
      </c>
      <c r="I1350" s="1" t="n">
        <v>3</v>
      </c>
    </row>
    <row r="1351" customFormat="false" ht="15" hidden="false" customHeight="false" outlineLevel="0" collapsed="false">
      <c r="A1351" s="1" t="s">
        <v>2025</v>
      </c>
      <c r="B1351" s="1" t="s">
        <v>1269</v>
      </c>
      <c r="C1351" s="1" t="s">
        <v>1882</v>
      </c>
      <c r="D1351" s="1" t="s">
        <v>1788</v>
      </c>
      <c r="E1351" s="1" t="s">
        <v>2023</v>
      </c>
      <c r="F1351" s="1" t="s">
        <v>2026</v>
      </c>
      <c r="G1351" s="8" t="s">
        <v>1607</v>
      </c>
      <c r="I1351" s="1" t="n">
        <v>3</v>
      </c>
    </row>
    <row r="1352" customFormat="false" ht="15" hidden="false" customHeight="false" outlineLevel="0" collapsed="false">
      <c r="A1352" s="1" t="s">
        <v>2025</v>
      </c>
      <c r="B1352" s="1" t="s">
        <v>1269</v>
      </c>
      <c r="C1352" s="1" t="s">
        <v>1883</v>
      </c>
      <c r="D1352" s="1" t="s">
        <v>1788</v>
      </c>
      <c r="E1352" s="1" t="s">
        <v>2023</v>
      </c>
      <c r="F1352" s="1" t="s">
        <v>2026</v>
      </c>
      <c r="G1352" s="8" t="s">
        <v>1607</v>
      </c>
      <c r="I1352" s="1" t="n">
        <v>3</v>
      </c>
    </row>
    <row r="1353" customFormat="false" ht="15" hidden="false" customHeight="false" outlineLevel="0" collapsed="false">
      <c r="A1353" s="1" t="s">
        <v>2025</v>
      </c>
      <c r="B1353" s="1" t="s">
        <v>1269</v>
      </c>
      <c r="C1353" s="1" t="s">
        <v>1884</v>
      </c>
      <c r="D1353" s="1" t="s">
        <v>1788</v>
      </c>
      <c r="E1353" s="1" t="s">
        <v>2023</v>
      </c>
      <c r="F1353" s="1" t="s">
        <v>2026</v>
      </c>
      <c r="G1353" s="8" t="s">
        <v>1607</v>
      </c>
      <c r="I1353" s="1" t="n">
        <v>3</v>
      </c>
    </row>
    <row r="1354" customFormat="false" ht="15" hidden="false" customHeight="false" outlineLevel="0" collapsed="false">
      <c r="A1354" s="1" t="s">
        <v>2025</v>
      </c>
      <c r="B1354" s="1" t="s">
        <v>1269</v>
      </c>
      <c r="C1354" s="1" t="s">
        <v>1885</v>
      </c>
      <c r="D1354" s="1" t="s">
        <v>1788</v>
      </c>
      <c r="E1354" s="1" t="s">
        <v>2023</v>
      </c>
      <c r="F1354" s="1" t="s">
        <v>2026</v>
      </c>
      <c r="G1354" s="8" t="s">
        <v>1607</v>
      </c>
      <c r="I1354" s="1" t="n">
        <v>6</v>
      </c>
    </row>
    <row r="1355" customFormat="false" ht="15" hidden="false" customHeight="false" outlineLevel="0" collapsed="false">
      <c r="A1355" s="1" t="s">
        <v>2025</v>
      </c>
      <c r="B1355" s="1" t="s">
        <v>1269</v>
      </c>
      <c r="C1355" s="1" t="s">
        <v>1886</v>
      </c>
      <c r="D1355" s="1" t="s">
        <v>1788</v>
      </c>
      <c r="E1355" s="1" t="s">
        <v>2023</v>
      </c>
      <c r="F1355" s="1" t="s">
        <v>2026</v>
      </c>
      <c r="G1355" s="8" t="s">
        <v>1607</v>
      </c>
      <c r="I1355" s="1" t="n">
        <v>4</v>
      </c>
    </row>
    <row r="1356" customFormat="false" ht="15" hidden="false" customHeight="false" outlineLevel="0" collapsed="false">
      <c r="A1356" s="1" t="s">
        <v>2025</v>
      </c>
      <c r="B1356" s="1" t="s">
        <v>1269</v>
      </c>
      <c r="C1356" s="1" t="s">
        <v>1887</v>
      </c>
      <c r="D1356" s="1" t="s">
        <v>1788</v>
      </c>
      <c r="E1356" s="1" t="s">
        <v>2023</v>
      </c>
      <c r="F1356" s="1" t="s">
        <v>2026</v>
      </c>
      <c r="G1356" s="8" t="s">
        <v>1607</v>
      </c>
      <c r="I1356" s="1" t="n">
        <v>8</v>
      </c>
    </row>
    <row r="1357" customFormat="false" ht="15" hidden="false" customHeight="false" outlineLevel="0" collapsed="false">
      <c r="A1357" s="1" t="s">
        <v>2025</v>
      </c>
      <c r="B1357" s="1" t="s">
        <v>1269</v>
      </c>
      <c r="C1357" s="1" t="s">
        <v>1888</v>
      </c>
      <c r="D1357" s="1" t="s">
        <v>1788</v>
      </c>
      <c r="E1357" s="1" t="s">
        <v>2023</v>
      </c>
      <c r="F1357" s="1" t="s">
        <v>2026</v>
      </c>
      <c r="G1357" s="8" t="s">
        <v>1607</v>
      </c>
      <c r="I1357" s="1" t="n">
        <v>3</v>
      </c>
    </row>
    <row r="1358" customFormat="false" ht="15" hidden="false" customHeight="false" outlineLevel="0" collapsed="false">
      <c r="A1358" s="1" t="s">
        <v>2025</v>
      </c>
      <c r="B1358" s="1" t="s">
        <v>1269</v>
      </c>
      <c r="C1358" s="1" t="s">
        <v>1889</v>
      </c>
      <c r="D1358" s="1" t="s">
        <v>1788</v>
      </c>
      <c r="E1358" s="1" t="s">
        <v>2023</v>
      </c>
      <c r="F1358" s="1" t="s">
        <v>2026</v>
      </c>
      <c r="G1358" s="8" t="s">
        <v>1607</v>
      </c>
      <c r="I1358" s="1" t="n">
        <v>3</v>
      </c>
    </row>
    <row r="1359" customFormat="false" ht="15" hidden="false" customHeight="false" outlineLevel="0" collapsed="false">
      <c r="A1359" s="1" t="s">
        <v>2025</v>
      </c>
      <c r="B1359" s="1" t="s">
        <v>1273</v>
      </c>
      <c r="C1359" s="1" t="s">
        <v>1274</v>
      </c>
      <c r="D1359" s="1" t="s">
        <v>1788</v>
      </c>
      <c r="E1359" s="1" t="s">
        <v>2023</v>
      </c>
      <c r="F1359" s="1" t="s">
        <v>2026</v>
      </c>
      <c r="G1359" s="8" t="s">
        <v>1607</v>
      </c>
      <c r="I1359" s="1" t="n">
        <v>11</v>
      </c>
    </row>
    <row r="1360" customFormat="false" ht="15" hidden="false" customHeight="false" outlineLevel="0" collapsed="false">
      <c r="A1360" s="1" t="s">
        <v>2025</v>
      </c>
      <c r="B1360" s="1" t="s">
        <v>1275</v>
      </c>
      <c r="C1360" s="1" t="s">
        <v>1276</v>
      </c>
      <c r="D1360" s="1" t="s">
        <v>1788</v>
      </c>
      <c r="E1360" s="1" t="s">
        <v>2023</v>
      </c>
      <c r="F1360" s="1" t="s">
        <v>2026</v>
      </c>
      <c r="G1360" s="8" t="s">
        <v>1607</v>
      </c>
      <c r="I1360" s="1" t="n">
        <v>7</v>
      </c>
    </row>
    <row r="1361" customFormat="false" ht="15" hidden="false" customHeight="false" outlineLevel="0" collapsed="false">
      <c r="A1361" s="1" t="s">
        <v>2025</v>
      </c>
      <c r="B1361" s="1" t="s">
        <v>1277</v>
      </c>
      <c r="C1361" s="1" t="s">
        <v>1278</v>
      </c>
      <c r="D1361" s="1" t="s">
        <v>1788</v>
      </c>
      <c r="E1361" s="1" t="s">
        <v>2023</v>
      </c>
      <c r="F1361" s="1" t="s">
        <v>2026</v>
      </c>
      <c r="G1361" s="8" t="s">
        <v>1607</v>
      </c>
      <c r="I1361" s="1" t="n">
        <v>9</v>
      </c>
    </row>
    <row r="1362" customFormat="false" ht="15" hidden="false" customHeight="false" outlineLevel="0" collapsed="false">
      <c r="A1362" s="1" t="s">
        <v>2025</v>
      </c>
      <c r="B1362" s="1" t="s">
        <v>1279</v>
      </c>
      <c r="C1362" s="1" t="s">
        <v>1280</v>
      </c>
      <c r="D1362" s="1" t="s">
        <v>1788</v>
      </c>
      <c r="E1362" s="1" t="s">
        <v>2023</v>
      </c>
      <c r="F1362" s="1" t="s">
        <v>2026</v>
      </c>
      <c r="G1362" s="8" t="s">
        <v>1607</v>
      </c>
      <c r="I1362" s="1" t="n">
        <v>7</v>
      </c>
    </row>
    <row r="1363" customFormat="false" ht="15" hidden="false" customHeight="false" outlineLevel="0" collapsed="false">
      <c r="A1363" s="1" t="s">
        <v>2025</v>
      </c>
      <c r="B1363" s="1" t="s">
        <v>1281</v>
      </c>
      <c r="C1363" s="1" t="s">
        <v>1282</v>
      </c>
      <c r="D1363" s="1" t="s">
        <v>1788</v>
      </c>
      <c r="E1363" s="1" t="s">
        <v>2023</v>
      </c>
      <c r="F1363" s="1" t="s">
        <v>2026</v>
      </c>
      <c r="G1363" s="8" t="s">
        <v>1607</v>
      </c>
      <c r="I1363" s="1" t="n">
        <v>14</v>
      </c>
    </row>
    <row r="1364" customFormat="false" ht="15" hidden="false" customHeight="false" outlineLevel="0" collapsed="false">
      <c r="A1364" s="1" t="s">
        <v>2025</v>
      </c>
      <c r="B1364" s="1" t="s">
        <v>1283</v>
      </c>
      <c r="C1364" s="1" t="s">
        <v>1284</v>
      </c>
      <c r="D1364" s="1" t="s">
        <v>1788</v>
      </c>
      <c r="E1364" s="1" t="s">
        <v>2023</v>
      </c>
      <c r="F1364" s="1" t="s">
        <v>2026</v>
      </c>
      <c r="G1364" s="8" t="s">
        <v>1607</v>
      </c>
      <c r="I1364" s="1" t="n">
        <v>13</v>
      </c>
    </row>
    <row r="1365" customFormat="false" ht="15" hidden="false" customHeight="false" outlineLevel="0" collapsed="false">
      <c r="A1365" s="1" t="s">
        <v>2025</v>
      </c>
      <c r="B1365" s="1" t="s">
        <v>1285</v>
      </c>
      <c r="C1365" s="1" t="s">
        <v>1286</v>
      </c>
      <c r="D1365" s="1" t="s">
        <v>1788</v>
      </c>
      <c r="E1365" s="1" t="s">
        <v>2023</v>
      </c>
      <c r="F1365" s="1" t="s">
        <v>2026</v>
      </c>
      <c r="G1365" s="8" t="s">
        <v>1607</v>
      </c>
      <c r="I1365" s="1" t="n">
        <v>5</v>
      </c>
    </row>
    <row r="1366" customFormat="false" ht="15" hidden="false" customHeight="false" outlineLevel="0" collapsed="false">
      <c r="A1366" s="1" t="s">
        <v>2025</v>
      </c>
      <c r="B1366" s="1" t="s">
        <v>1287</v>
      </c>
      <c r="C1366" s="1" t="s">
        <v>1288</v>
      </c>
      <c r="D1366" s="1" t="s">
        <v>1788</v>
      </c>
      <c r="E1366" s="1" t="s">
        <v>2023</v>
      </c>
      <c r="F1366" s="1" t="s">
        <v>2026</v>
      </c>
      <c r="G1366" s="8" t="s">
        <v>1632</v>
      </c>
      <c r="H1366" s="1" t="s">
        <v>1289</v>
      </c>
      <c r="I1366" s="1" t="n">
        <v>9</v>
      </c>
    </row>
    <row r="1367" customFormat="false" ht="15" hidden="false" customHeight="false" outlineLevel="0" collapsed="false">
      <c r="A1367" s="1" t="s">
        <v>2025</v>
      </c>
      <c r="B1367" s="1" t="s">
        <v>1290</v>
      </c>
      <c r="C1367" s="1" t="s">
        <v>1291</v>
      </c>
      <c r="D1367" s="1" t="s">
        <v>1788</v>
      </c>
      <c r="E1367" s="1" t="s">
        <v>2023</v>
      </c>
      <c r="F1367" s="1" t="s">
        <v>2026</v>
      </c>
      <c r="G1367" s="8" t="s">
        <v>1607</v>
      </c>
      <c r="I1367" s="1" t="n">
        <v>4</v>
      </c>
    </row>
    <row r="1368" customFormat="false" ht="15" hidden="false" customHeight="false" outlineLevel="0" collapsed="false">
      <c r="A1368" s="1" t="s">
        <v>2025</v>
      </c>
      <c r="B1368" s="1" t="s">
        <v>1292</v>
      </c>
      <c r="C1368" s="1" t="s">
        <v>1293</v>
      </c>
      <c r="D1368" s="1" t="s">
        <v>1788</v>
      </c>
      <c r="E1368" s="1" t="s">
        <v>2023</v>
      </c>
      <c r="F1368" s="1" t="s">
        <v>2026</v>
      </c>
      <c r="G1368" s="8" t="s">
        <v>1607</v>
      </c>
      <c r="I1368" s="1" t="n">
        <v>17</v>
      </c>
    </row>
    <row r="1369" customFormat="false" ht="15" hidden="false" customHeight="false" outlineLevel="0" collapsed="false">
      <c r="A1369" s="1" t="s">
        <v>2025</v>
      </c>
      <c r="B1369" s="1" t="s">
        <v>1294</v>
      </c>
      <c r="C1369" s="1" t="s">
        <v>1295</v>
      </c>
      <c r="D1369" s="1" t="s">
        <v>1788</v>
      </c>
      <c r="E1369" s="1" t="s">
        <v>2023</v>
      </c>
      <c r="F1369" s="1" t="s">
        <v>2026</v>
      </c>
      <c r="G1369" s="8" t="s">
        <v>1607</v>
      </c>
      <c r="I1369" s="1" t="n">
        <v>12</v>
      </c>
    </row>
    <row r="1370" customFormat="false" ht="15" hidden="false" customHeight="false" outlineLevel="0" collapsed="false">
      <c r="A1370" s="1" t="s">
        <v>2025</v>
      </c>
      <c r="B1370" s="1" t="s">
        <v>801</v>
      </c>
      <c r="C1370" s="1" t="s">
        <v>802</v>
      </c>
      <c r="D1370" s="1" t="s">
        <v>1788</v>
      </c>
      <c r="E1370" s="1" t="s">
        <v>2023</v>
      </c>
      <c r="F1370" s="1" t="s">
        <v>2026</v>
      </c>
      <c r="G1370" s="8" t="s">
        <v>1607</v>
      </c>
      <c r="I1370" s="1" t="n">
        <v>4</v>
      </c>
    </row>
    <row r="1371" customFormat="false" ht="15" hidden="false" customHeight="false" outlineLevel="0" collapsed="false">
      <c r="A1371" s="1" t="s">
        <v>2025</v>
      </c>
      <c r="B1371" s="1" t="s">
        <v>805</v>
      </c>
      <c r="C1371" s="1" t="s">
        <v>806</v>
      </c>
      <c r="D1371" s="1" t="s">
        <v>1788</v>
      </c>
      <c r="E1371" s="1" t="s">
        <v>2023</v>
      </c>
      <c r="F1371" s="1" t="s">
        <v>2026</v>
      </c>
      <c r="G1371" s="8" t="s">
        <v>1607</v>
      </c>
      <c r="I1371" s="1" t="n">
        <v>35</v>
      </c>
    </row>
    <row r="1372" customFormat="false" ht="15" hidden="false" customHeight="false" outlineLevel="0" collapsed="false">
      <c r="A1372" s="1" t="s">
        <v>2025</v>
      </c>
      <c r="B1372" s="1" t="s">
        <v>807</v>
      </c>
      <c r="C1372" s="1" t="s">
        <v>808</v>
      </c>
      <c r="D1372" s="1" t="s">
        <v>1788</v>
      </c>
      <c r="E1372" s="1" t="s">
        <v>2023</v>
      </c>
      <c r="F1372" s="1" t="s">
        <v>2026</v>
      </c>
      <c r="G1372" s="8" t="s">
        <v>1607</v>
      </c>
      <c r="I1372" s="1" t="n">
        <v>2</v>
      </c>
    </row>
    <row r="1373" customFormat="false" ht="15" hidden="false" customHeight="false" outlineLevel="0" collapsed="false">
      <c r="A1373" s="1" t="s">
        <v>2025</v>
      </c>
      <c r="B1373" s="1" t="s">
        <v>809</v>
      </c>
      <c r="C1373" s="1" t="s">
        <v>810</v>
      </c>
      <c r="D1373" s="1" t="s">
        <v>1788</v>
      </c>
      <c r="E1373" s="1" t="s">
        <v>2023</v>
      </c>
      <c r="F1373" s="1" t="s">
        <v>2026</v>
      </c>
      <c r="G1373" s="8" t="s">
        <v>1607</v>
      </c>
      <c r="I1373" s="1" t="n">
        <v>1</v>
      </c>
    </row>
    <row r="1374" customFormat="false" ht="15" hidden="false" customHeight="false" outlineLevel="0" collapsed="false">
      <c r="A1374" s="1" t="s">
        <v>2025</v>
      </c>
      <c r="B1374" s="1" t="s">
        <v>811</v>
      </c>
      <c r="C1374" s="1" t="s">
        <v>812</v>
      </c>
      <c r="D1374" s="1" t="s">
        <v>1788</v>
      </c>
      <c r="E1374" s="1" t="s">
        <v>2023</v>
      </c>
      <c r="F1374" s="1" t="s">
        <v>2026</v>
      </c>
      <c r="G1374" s="8" t="s">
        <v>1607</v>
      </c>
      <c r="I1374" s="1" t="n">
        <v>1</v>
      </c>
    </row>
    <row r="1375" customFormat="false" ht="15" hidden="false" customHeight="false" outlineLevel="0" collapsed="false">
      <c r="A1375" s="1" t="s">
        <v>2025</v>
      </c>
      <c r="B1375" s="1" t="s">
        <v>813</v>
      </c>
      <c r="C1375" s="1" t="s">
        <v>814</v>
      </c>
      <c r="D1375" s="1" t="s">
        <v>1788</v>
      </c>
      <c r="E1375" s="1" t="s">
        <v>2023</v>
      </c>
      <c r="F1375" s="1" t="s">
        <v>2026</v>
      </c>
      <c r="G1375" s="8" t="s">
        <v>1607</v>
      </c>
      <c r="I1375" s="1" t="n">
        <v>644</v>
      </c>
    </row>
    <row r="1376" customFormat="false" ht="15" hidden="false" customHeight="false" outlineLevel="0" collapsed="false">
      <c r="A1376" s="1" t="s">
        <v>2025</v>
      </c>
      <c r="B1376" s="1" t="s">
        <v>815</v>
      </c>
      <c r="C1376" s="1" t="s">
        <v>816</v>
      </c>
      <c r="D1376" s="1" t="s">
        <v>1788</v>
      </c>
      <c r="E1376" s="1" t="s">
        <v>2023</v>
      </c>
      <c r="F1376" s="1" t="s">
        <v>2026</v>
      </c>
      <c r="G1376" s="8" t="s">
        <v>1607</v>
      </c>
      <c r="I1376" s="1" t="n">
        <v>13</v>
      </c>
    </row>
    <row r="1377" customFormat="false" ht="15" hidden="false" customHeight="false" outlineLevel="0" collapsed="false">
      <c r="A1377" s="1" t="s">
        <v>2025</v>
      </c>
      <c r="B1377" s="1" t="s">
        <v>815</v>
      </c>
      <c r="C1377" s="1" t="s">
        <v>1890</v>
      </c>
      <c r="D1377" s="1" t="s">
        <v>1788</v>
      </c>
      <c r="E1377" s="1" t="s">
        <v>2023</v>
      </c>
      <c r="F1377" s="1" t="s">
        <v>2026</v>
      </c>
      <c r="G1377" s="8" t="s">
        <v>1607</v>
      </c>
      <c r="I1377" s="1" t="n">
        <v>72</v>
      </c>
    </row>
    <row r="1378" customFormat="false" ht="15" hidden="false" customHeight="false" outlineLevel="0" collapsed="false">
      <c r="A1378" s="1" t="s">
        <v>2025</v>
      </c>
      <c r="B1378" s="1" t="s">
        <v>817</v>
      </c>
      <c r="C1378" s="1" t="s">
        <v>818</v>
      </c>
      <c r="D1378" s="1" t="s">
        <v>1788</v>
      </c>
      <c r="E1378" s="1" t="s">
        <v>2023</v>
      </c>
      <c r="F1378" s="1" t="s">
        <v>2026</v>
      </c>
      <c r="G1378" s="8" t="s">
        <v>1607</v>
      </c>
      <c r="I1378" s="1" t="n">
        <v>652</v>
      </c>
    </row>
    <row r="1379" customFormat="false" ht="15" hidden="false" customHeight="false" outlineLevel="0" collapsed="false">
      <c r="A1379" s="1" t="s">
        <v>2025</v>
      </c>
      <c r="B1379" s="1" t="s">
        <v>819</v>
      </c>
      <c r="C1379" s="1" t="s">
        <v>820</v>
      </c>
      <c r="D1379" s="1" t="s">
        <v>1788</v>
      </c>
      <c r="E1379" s="1" t="s">
        <v>2023</v>
      </c>
      <c r="F1379" s="1" t="s">
        <v>2026</v>
      </c>
      <c r="G1379" s="8" t="s">
        <v>1607</v>
      </c>
      <c r="I1379" s="1" t="n">
        <v>646</v>
      </c>
    </row>
    <row r="1380" customFormat="false" ht="15" hidden="false" customHeight="false" outlineLevel="0" collapsed="false">
      <c r="A1380" s="1" t="s">
        <v>2025</v>
      </c>
      <c r="B1380" s="1" t="s">
        <v>877</v>
      </c>
      <c r="C1380" s="1" t="s">
        <v>878</v>
      </c>
      <c r="D1380" s="1" t="s">
        <v>1788</v>
      </c>
      <c r="E1380" s="1" t="s">
        <v>2023</v>
      </c>
      <c r="F1380" s="1" t="s">
        <v>2026</v>
      </c>
      <c r="G1380" s="8" t="s">
        <v>1607</v>
      </c>
      <c r="I1380" s="1" t="n">
        <v>10</v>
      </c>
    </row>
    <row r="1381" customFormat="false" ht="15" hidden="false" customHeight="false" outlineLevel="0" collapsed="false">
      <c r="A1381" s="1" t="s">
        <v>2025</v>
      </c>
      <c r="B1381" s="1" t="s">
        <v>880</v>
      </c>
      <c r="C1381" s="1" t="s">
        <v>881</v>
      </c>
      <c r="D1381" s="1" t="s">
        <v>1788</v>
      </c>
      <c r="E1381" s="1" t="s">
        <v>2023</v>
      </c>
      <c r="F1381" s="1" t="s">
        <v>2026</v>
      </c>
      <c r="G1381" s="8" t="s">
        <v>1607</v>
      </c>
      <c r="I1381" s="1" t="n">
        <v>17</v>
      </c>
    </row>
    <row r="1382" customFormat="false" ht="15" hidden="false" customHeight="false" outlineLevel="0" collapsed="false">
      <c r="A1382" s="1" t="s">
        <v>2025</v>
      </c>
      <c r="B1382" s="1" t="s">
        <v>882</v>
      </c>
      <c r="C1382" s="1" t="s">
        <v>883</v>
      </c>
      <c r="D1382" s="1" t="s">
        <v>1788</v>
      </c>
      <c r="E1382" s="1" t="s">
        <v>2023</v>
      </c>
      <c r="F1382" s="1" t="s">
        <v>2026</v>
      </c>
      <c r="G1382" s="8" t="s">
        <v>1607</v>
      </c>
      <c r="I1382" s="1" t="n">
        <v>44</v>
      </c>
    </row>
    <row r="1383" customFormat="false" ht="15" hidden="false" customHeight="false" outlineLevel="0" collapsed="false">
      <c r="A1383" s="1" t="s">
        <v>2025</v>
      </c>
      <c r="B1383" s="1" t="s">
        <v>884</v>
      </c>
      <c r="C1383" s="1" t="s">
        <v>885</v>
      </c>
      <c r="D1383" s="1" t="s">
        <v>1788</v>
      </c>
      <c r="E1383" s="1" t="s">
        <v>2023</v>
      </c>
      <c r="F1383" s="1" t="s">
        <v>2026</v>
      </c>
      <c r="G1383" s="8" t="s">
        <v>1607</v>
      </c>
      <c r="I1383" s="1" t="n">
        <v>17</v>
      </c>
    </row>
    <row r="1384" customFormat="false" ht="15" hidden="false" customHeight="false" outlineLevel="0" collapsed="false">
      <c r="A1384" s="1" t="s">
        <v>2025</v>
      </c>
      <c r="B1384" s="1" t="s">
        <v>886</v>
      </c>
      <c r="C1384" s="1" t="s">
        <v>887</v>
      </c>
      <c r="D1384" s="1" t="s">
        <v>1788</v>
      </c>
      <c r="E1384" s="1" t="s">
        <v>2023</v>
      </c>
      <c r="F1384" s="1" t="s">
        <v>2026</v>
      </c>
      <c r="G1384" s="8" t="s">
        <v>1607</v>
      </c>
      <c r="I1384" s="1" t="n">
        <v>18</v>
      </c>
    </row>
    <row r="1385" customFormat="false" ht="15" hidden="false" customHeight="false" outlineLevel="0" collapsed="false">
      <c r="A1385" s="1" t="s">
        <v>2025</v>
      </c>
      <c r="B1385" s="1" t="s">
        <v>886</v>
      </c>
      <c r="C1385" s="1" t="s">
        <v>1891</v>
      </c>
      <c r="D1385" s="1" t="s">
        <v>1788</v>
      </c>
      <c r="E1385" s="1" t="s">
        <v>2023</v>
      </c>
      <c r="F1385" s="1" t="s">
        <v>2026</v>
      </c>
      <c r="G1385" s="8" t="s">
        <v>1607</v>
      </c>
      <c r="I1385" s="1" t="n">
        <v>15</v>
      </c>
    </row>
    <row r="1386" customFormat="false" ht="15" hidden="false" customHeight="false" outlineLevel="0" collapsed="false">
      <c r="A1386" s="1" t="s">
        <v>2025</v>
      </c>
      <c r="B1386" s="1" t="s">
        <v>886</v>
      </c>
      <c r="C1386" s="1" t="s">
        <v>1892</v>
      </c>
      <c r="D1386" s="1" t="s">
        <v>1788</v>
      </c>
      <c r="E1386" s="1" t="s">
        <v>2023</v>
      </c>
      <c r="F1386" s="1" t="s">
        <v>2026</v>
      </c>
      <c r="G1386" s="8" t="s">
        <v>1607</v>
      </c>
      <c r="I1386" s="1" t="n">
        <v>15</v>
      </c>
    </row>
    <row r="1387" customFormat="false" ht="15" hidden="false" customHeight="false" outlineLevel="0" collapsed="false">
      <c r="A1387" s="1" t="s">
        <v>2025</v>
      </c>
      <c r="B1387" s="1" t="s">
        <v>886</v>
      </c>
      <c r="C1387" s="1" t="s">
        <v>1893</v>
      </c>
      <c r="D1387" s="1" t="s">
        <v>1788</v>
      </c>
      <c r="E1387" s="1" t="s">
        <v>2023</v>
      </c>
      <c r="F1387" s="1" t="s">
        <v>2026</v>
      </c>
      <c r="G1387" s="8" t="s">
        <v>1607</v>
      </c>
      <c r="I1387" s="1" t="n">
        <v>14</v>
      </c>
    </row>
    <row r="1388" customFormat="false" ht="15" hidden="false" customHeight="false" outlineLevel="0" collapsed="false">
      <c r="A1388" s="1" t="s">
        <v>2025</v>
      </c>
      <c r="B1388" s="1" t="s">
        <v>886</v>
      </c>
      <c r="C1388" s="1" t="s">
        <v>1894</v>
      </c>
      <c r="D1388" s="1" t="s">
        <v>1788</v>
      </c>
      <c r="E1388" s="1" t="s">
        <v>2023</v>
      </c>
      <c r="F1388" s="1" t="s">
        <v>2026</v>
      </c>
      <c r="G1388" s="8" t="s">
        <v>1607</v>
      </c>
      <c r="I1388" s="1" t="n">
        <v>14</v>
      </c>
    </row>
    <row r="1389" customFormat="false" ht="15" hidden="false" customHeight="false" outlineLevel="0" collapsed="false">
      <c r="A1389" s="1" t="s">
        <v>2025</v>
      </c>
      <c r="B1389" s="1" t="s">
        <v>886</v>
      </c>
      <c r="C1389" s="1" t="s">
        <v>1895</v>
      </c>
      <c r="D1389" s="1" t="s">
        <v>1788</v>
      </c>
      <c r="E1389" s="1" t="s">
        <v>2023</v>
      </c>
      <c r="F1389" s="1" t="s">
        <v>2026</v>
      </c>
      <c r="G1389" s="8" t="s">
        <v>1607</v>
      </c>
      <c r="I1389" s="1" t="n">
        <v>14</v>
      </c>
    </row>
    <row r="1390" customFormat="false" ht="15" hidden="false" customHeight="false" outlineLevel="0" collapsed="false">
      <c r="A1390" s="1" t="s">
        <v>2025</v>
      </c>
      <c r="B1390" s="1" t="s">
        <v>886</v>
      </c>
      <c r="C1390" s="1" t="s">
        <v>1896</v>
      </c>
      <c r="D1390" s="1" t="s">
        <v>1788</v>
      </c>
      <c r="E1390" s="1" t="s">
        <v>2023</v>
      </c>
      <c r="F1390" s="1" t="s">
        <v>2026</v>
      </c>
      <c r="G1390" s="8" t="s">
        <v>1607</v>
      </c>
      <c r="I1390" s="1" t="n">
        <v>14</v>
      </c>
    </row>
    <row r="1391" customFormat="false" ht="15" hidden="false" customHeight="false" outlineLevel="0" collapsed="false">
      <c r="A1391" s="1" t="s">
        <v>2025</v>
      </c>
      <c r="B1391" s="1" t="s">
        <v>886</v>
      </c>
      <c r="C1391" s="1" t="s">
        <v>1897</v>
      </c>
      <c r="D1391" s="1" t="s">
        <v>1788</v>
      </c>
      <c r="E1391" s="1" t="s">
        <v>2023</v>
      </c>
      <c r="F1391" s="1" t="s">
        <v>2026</v>
      </c>
      <c r="G1391" s="8" t="s">
        <v>1607</v>
      </c>
      <c r="I1391" s="1" t="n">
        <v>13</v>
      </c>
    </row>
    <row r="1392" customFormat="false" ht="15" hidden="false" customHeight="false" outlineLevel="0" collapsed="false">
      <c r="A1392" s="1" t="s">
        <v>2025</v>
      </c>
      <c r="B1392" s="1" t="s">
        <v>886</v>
      </c>
      <c r="C1392" s="1" t="s">
        <v>1898</v>
      </c>
      <c r="D1392" s="1" t="s">
        <v>1788</v>
      </c>
      <c r="E1392" s="1" t="s">
        <v>2023</v>
      </c>
      <c r="F1392" s="1" t="s">
        <v>2026</v>
      </c>
      <c r="G1392" s="8" t="s">
        <v>1607</v>
      </c>
      <c r="I1392" s="1" t="n">
        <v>14</v>
      </c>
    </row>
    <row r="1393" customFormat="false" ht="15" hidden="false" customHeight="false" outlineLevel="0" collapsed="false">
      <c r="A1393" s="1" t="s">
        <v>2025</v>
      </c>
      <c r="B1393" s="1" t="s">
        <v>888</v>
      </c>
      <c r="C1393" s="1" t="s">
        <v>889</v>
      </c>
      <c r="D1393" s="1" t="s">
        <v>1788</v>
      </c>
      <c r="E1393" s="1" t="s">
        <v>2023</v>
      </c>
      <c r="F1393" s="1" t="s">
        <v>2026</v>
      </c>
      <c r="G1393" s="8" t="s">
        <v>1607</v>
      </c>
      <c r="I1393" s="1" t="n">
        <v>5</v>
      </c>
    </row>
    <row r="1394" customFormat="false" ht="15" hidden="false" customHeight="false" outlineLevel="0" collapsed="false">
      <c r="A1394" s="1" t="s">
        <v>2025</v>
      </c>
      <c r="B1394" s="1" t="s">
        <v>888</v>
      </c>
      <c r="C1394" s="1" t="s">
        <v>1899</v>
      </c>
      <c r="D1394" s="1" t="s">
        <v>1788</v>
      </c>
      <c r="E1394" s="1" t="s">
        <v>2023</v>
      </c>
      <c r="F1394" s="1" t="s">
        <v>2026</v>
      </c>
      <c r="G1394" s="8" t="s">
        <v>1607</v>
      </c>
      <c r="I1394" s="1" t="n">
        <v>4</v>
      </c>
    </row>
    <row r="1395" customFormat="false" ht="15" hidden="false" customHeight="false" outlineLevel="0" collapsed="false">
      <c r="A1395" s="1" t="s">
        <v>2025</v>
      </c>
      <c r="B1395" s="1" t="s">
        <v>888</v>
      </c>
      <c r="C1395" s="1" t="s">
        <v>1900</v>
      </c>
      <c r="D1395" s="1" t="s">
        <v>1788</v>
      </c>
      <c r="E1395" s="1" t="s">
        <v>2023</v>
      </c>
      <c r="F1395" s="1" t="s">
        <v>2026</v>
      </c>
      <c r="G1395" s="8" t="s">
        <v>1607</v>
      </c>
      <c r="I1395" s="1" t="n">
        <v>5</v>
      </c>
    </row>
    <row r="1396" customFormat="false" ht="15" hidden="false" customHeight="false" outlineLevel="0" collapsed="false">
      <c r="A1396" s="1" t="s">
        <v>2025</v>
      </c>
      <c r="B1396" s="1" t="s">
        <v>888</v>
      </c>
      <c r="C1396" s="1" t="s">
        <v>1901</v>
      </c>
      <c r="D1396" s="1" t="s">
        <v>1788</v>
      </c>
      <c r="E1396" s="1" t="s">
        <v>2023</v>
      </c>
      <c r="F1396" s="1" t="s">
        <v>2026</v>
      </c>
      <c r="G1396" s="8" t="s">
        <v>1607</v>
      </c>
      <c r="I1396" s="1" t="n">
        <v>4</v>
      </c>
    </row>
    <row r="1397" customFormat="false" ht="15" hidden="false" customHeight="false" outlineLevel="0" collapsed="false">
      <c r="A1397" s="1" t="s">
        <v>2025</v>
      </c>
      <c r="B1397" s="1" t="s">
        <v>888</v>
      </c>
      <c r="C1397" s="1" t="s">
        <v>1902</v>
      </c>
      <c r="D1397" s="1" t="s">
        <v>1788</v>
      </c>
      <c r="E1397" s="1" t="s">
        <v>2023</v>
      </c>
      <c r="F1397" s="1" t="s">
        <v>2026</v>
      </c>
      <c r="G1397" s="8" t="s">
        <v>1607</v>
      </c>
      <c r="I1397" s="1" t="n">
        <v>6</v>
      </c>
    </row>
    <row r="1398" customFormat="false" ht="15" hidden="false" customHeight="false" outlineLevel="0" collapsed="false">
      <c r="A1398" s="1" t="s">
        <v>2025</v>
      </c>
      <c r="B1398" s="1" t="s">
        <v>888</v>
      </c>
      <c r="C1398" s="1" t="s">
        <v>1903</v>
      </c>
      <c r="D1398" s="1" t="s">
        <v>1788</v>
      </c>
      <c r="E1398" s="1" t="s">
        <v>2023</v>
      </c>
      <c r="F1398" s="1" t="s">
        <v>2026</v>
      </c>
      <c r="G1398" s="8" t="s">
        <v>1607</v>
      </c>
      <c r="I1398" s="1" t="n">
        <v>4</v>
      </c>
    </row>
    <row r="1399" customFormat="false" ht="15" hidden="false" customHeight="false" outlineLevel="0" collapsed="false">
      <c r="A1399" s="1" t="s">
        <v>2025</v>
      </c>
      <c r="B1399" s="1" t="s">
        <v>888</v>
      </c>
      <c r="C1399" s="1" t="s">
        <v>1904</v>
      </c>
      <c r="D1399" s="1" t="s">
        <v>1788</v>
      </c>
      <c r="E1399" s="1" t="s">
        <v>2023</v>
      </c>
      <c r="F1399" s="1" t="s">
        <v>2026</v>
      </c>
      <c r="G1399" s="8" t="s">
        <v>1607</v>
      </c>
      <c r="I1399" s="1" t="n">
        <v>6</v>
      </c>
    </row>
    <row r="1400" customFormat="false" ht="15" hidden="false" customHeight="false" outlineLevel="0" collapsed="false">
      <c r="A1400" s="1" t="s">
        <v>2025</v>
      </c>
      <c r="B1400" s="1" t="s">
        <v>888</v>
      </c>
      <c r="C1400" s="1" t="s">
        <v>1905</v>
      </c>
      <c r="D1400" s="1" t="s">
        <v>1788</v>
      </c>
      <c r="E1400" s="1" t="s">
        <v>2023</v>
      </c>
      <c r="F1400" s="1" t="s">
        <v>2026</v>
      </c>
      <c r="G1400" s="8" t="s">
        <v>1607</v>
      </c>
      <c r="I1400" s="1" t="n">
        <v>7</v>
      </c>
    </row>
    <row r="1401" customFormat="false" ht="15" hidden="false" customHeight="false" outlineLevel="0" collapsed="false">
      <c r="A1401" s="1" t="s">
        <v>2025</v>
      </c>
      <c r="B1401" s="1" t="s">
        <v>888</v>
      </c>
      <c r="C1401" s="1" t="s">
        <v>1906</v>
      </c>
      <c r="D1401" s="1" t="s">
        <v>1788</v>
      </c>
      <c r="E1401" s="1" t="s">
        <v>2023</v>
      </c>
      <c r="F1401" s="1" t="s">
        <v>2026</v>
      </c>
      <c r="G1401" s="8" t="s">
        <v>1607</v>
      </c>
      <c r="I1401" s="1" t="n">
        <v>3</v>
      </c>
    </row>
    <row r="1402" customFormat="false" ht="15" hidden="false" customHeight="false" outlineLevel="0" collapsed="false">
      <c r="A1402" s="1" t="s">
        <v>2025</v>
      </c>
      <c r="B1402" s="1" t="s">
        <v>888</v>
      </c>
      <c r="C1402" s="1" t="s">
        <v>1907</v>
      </c>
      <c r="D1402" s="1" t="s">
        <v>1788</v>
      </c>
      <c r="E1402" s="1" t="s">
        <v>2023</v>
      </c>
      <c r="F1402" s="1" t="s">
        <v>2026</v>
      </c>
      <c r="G1402" s="8" t="s">
        <v>1607</v>
      </c>
      <c r="I1402" s="1" t="n">
        <v>4</v>
      </c>
    </row>
    <row r="1403" customFormat="false" ht="15" hidden="false" customHeight="false" outlineLevel="0" collapsed="false">
      <c r="A1403" s="1" t="s">
        <v>2025</v>
      </c>
      <c r="B1403" s="1" t="s">
        <v>888</v>
      </c>
      <c r="C1403" s="1" t="s">
        <v>1908</v>
      </c>
      <c r="D1403" s="1" t="s">
        <v>1788</v>
      </c>
      <c r="E1403" s="1" t="s">
        <v>2023</v>
      </c>
      <c r="F1403" s="1" t="s">
        <v>2026</v>
      </c>
      <c r="G1403" s="8" t="s">
        <v>1607</v>
      </c>
      <c r="I1403" s="1" t="n">
        <v>3</v>
      </c>
    </row>
    <row r="1404" customFormat="false" ht="15" hidden="false" customHeight="false" outlineLevel="0" collapsed="false">
      <c r="A1404" s="1" t="s">
        <v>2025</v>
      </c>
      <c r="B1404" s="1" t="s">
        <v>888</v>
      </c>
      <c r="C1404" s="1" t="s">
        <v>1909</v>
      </c>
      <c r="D1404" s="1" t="s">
        <v>1788</v>
      </c>
      <c r="E1404" s="1" t="s">
        <v>2023</v>
      </c>
      <c r="F1404" s="1" t="s">
        <v>2026</v>
      </c>
      <c r="G1404" s="8" t="s">
        <v>1607</v>
      </c>
      <c r="I1404" s="1" t="n">
        <v>3</v>
      </c>
    </row>
    <row r="1405" customFormat="false" ht="15" hidden="false" customHeight="false" outlineLevel="0" collapsed="false">
      <c r="A1405" s="1" t="s">
        <v>2025</v>
      </c>
      <c r="B1405" s="1" t="s">
        <v>888</v>
      </c>
      <c r="C1405" s="1" t="s">
        <v>1910</v>
      </c>
      <c r="D1405" s="1" t="s">
        <v>1788</v>
      </c>
      <c r="E1405" s="1" t="s">
        <v>2023</v>
      </c>
      <c r="F1405" s="1" t="s">
        <v>2026</v>
      </c>
      <c r="G1405" s="8" t="s">
        <v>1607</v>
      </c>
      <c r="I1405" s="1" t="n">
        <v>3</v>
      </c>
    </row>
    <row r="1406" customFormat="false" ht="15" hidden="false" customHeight="false" outlineLevel="0" collapsed="false">
      <c r="A1406" s="1" t="s">
        <v>2025</v>
      </c>
      <c r="B1406" s="1" t="s">
        <v>888</v>
      </c>
      <c r="C1406" s="1" t="s">
        <v>1911</v>
      </c>
      <c r="D1406" s="1" t="s">
        <v>1788</v>
      </c>
      <c r="E1406" s="1" t="s">
        <v>2023</v>
      </c>
      <c r="F1406" s="1" t="s">
        <v>2026</v>
      </c>
      <c r="G1406" s="8" t="s">
        <v>1607</v>
      </c>
      <c r="I1406" s="1" t="n">
        <v>3</v>
      </c>
    </row>
    <row r="1407" customFormat="false" ht="15" hidden="false" customHeight="false" outlineLevel="0" collapsed="false">
      <c r="A1407" s="1" t="s">
        <v>2025</v>
      </c>
      <c r="B1407" s="1" t="s">
        <v>888</v>
      </c>
      <c r="C1407" s="1" t="s">
        <v>1912</v>
      </c>
      <c r="D1407" s="1" t="s">
        <v>1788</v>
      </c>
      <c r="E1407" s="1" t="s">
        <v>2023</v>
      </c>
      <c r="F1407" s="1" t="s">
        <v>2026</v>
      </c>
      <c r="G1407" s="8" t="s">
        <v>1607</v>
      </c>
      <c r="I1407" s="1" t="n">
        <v>4</v>
      </c>
    </row>
    <row r="1408" customFormat="false" ht="15" hidden="false" customHeight="false" outlineLevel="0" collapsed="false">
      <c r="A1408" s="1" t="s">
        <v>2025</v>
      </c>
      <c r="B1408" s="1" t="s">
        <v>888</v>
      </c>
      <c r="C1408" s="1" t="s">
        <v>1913</v>
      </c>
      <c r="D1408" s="1" t="s">
        <v>1788</v>
      </c>
      <c r="E1408" s="1" t="s">
        <v>2023</v>
      </c>
      <c r="F1408" s="1" t="s">
        <v>2026</v>
      </c>
      <c r="G1408" s="8" t="s">
        <v>1607</v>
      </c>
      <c r="I1408" s="1" t="n">
        <v>3</v>
      </c>
    </row>
    <row r="1409" customFormat="false" ht="15" hidden="false" customHeight="false" outlineLevel="0" collapsed="false">
      <c r="A1409" s="1" t="s">
        <v>2025</v>
      </c>
      <c r="B1409" s="1" t="s">
        <v>890</v>
      </c>
      <c r="C1409" s="1" t="s">
        <v>891</v>
      </c>
      <c r="D1409" s="1" t="s">
        <v>1788</v>
      </c>
      <c r="E1409" s="1" t="s">
        <v>2023</v>
      </c>
      <c r="F1409" s="1" t="s">
        <v>2026</v>
      </c>
      <c r="G1409" s="8" t="s">
        <v>1607</v>
      </c>
      <c r="I1409" s="1" t="n">
        <v>112</v>
      </c>
    </row>
    <row r="1410" customFormat="false" ht="15" hidden="false" customHeight="false" outlineLevel="0" collapsed="false">
      <c r="A1410" s="1" t="s">
        <v>2025</v>
      </c>
      <c r="B1410" s="1" t="s">
        <v>892</v>
      </c>
      <c r="C1410" s="1" t="s">
        <v>893</v>
      </c>
      <c r="D1410" s="1" t="s">
        <v>1788</v>
      </c>
      <c r="E1410" s="1" t="s">
        <v>2023</v>
      </c>
      <c r="F1410" s="1" t="s">
        <v>2026</v>
      </c>
      <c r="G1410" s="8" t="s">
        <v>1632</v>
      </c>
      <c r="H1410" s="1" t="s">
        <v>894</v>
      </c>
      <c r="I1410" s="1" t="n">
        <v>14</v>
      </c>
    </row>
    <row r="1411" customFormat="false" ht="15" hidden="false" customHeight="false" outlineLevel="0" collapsed="false">
      <c r="A1411" s="1" t="s">
        <v>2025</v>
      </c>
      <c r="B1411" s="1" t="s">
        <v>895</v>
      </c>
      <c r="C1411" s="1" t="s">
        <v>896</v>
      </c>
      <c r="D1411" s="1" t="s">
        <v>1788</v>
      </c>
      <c r="E1411" s="1" t="s">
        <v>2023</v>
      </c>
      <c r="F1411" s="1" t="s">
        <v>2026</v>
      </c>
      <c r="G1411" s="8" t="s">
        <v>1632</v>
      </c>
      <c r="H1411" s="1" t="s">
        <v>897</v>
      </c>
      <c r="I1411" s="1" t="n">
        <v>10</v>
      </c>
    </row>
    <row r="1412" customFormat="false" ht="15" hidden="false" customHeight="false" outlineLevel="0" collapsed="false">
      <c r="A1412" s="1" t="s">
        <v>2025</v>
      </c>
      <c r="B1412" s="1" t="s">
        <v>898</v>
      </c>
      <c r="C1412" s="1" t="s">
        <v>899</v>
      </c>
      <c r="D1412" s="1" t="s">
        <v>1788</v>
      </c>
      <c r="E1412" s="1" t="s">
        <v>2023</v>
      </c>
      <c r="F1412" s="1" t="s">
        <v>2026</v>
      </c>
      <c r="G1412" s="8" t="s">
        <v>1632</v>
      </c>
      <c r="H1412" s="1" t="s">
        <v>897</v>
      </c>
      <c r="I1412" s="1" t="n">
        <v>5</v>
      </c>
    </row>
    <row r="1413" customFormat="false" ht="15" hidden="false" customHeight="false" outlineLevel="0" collapsed="false">
      <c r="A1413" s="1" t="s">
        <v>2025</v>
      </c>
      <c r="B1413" s="1" t="s">
        <v>900</v>
      </c>
      <c r="C1413" s="1" t="s">
        <v>901</v>
      </c>
      <c r="D1413" s="1" t="s">
        <v>1788</v>
      </c>
      <c r="E1413" s="1" t="s">
        <v>2023</v>
      </c>
      <c r="F1413" s="1" t="s">
        <v>2026</v>
      </c>
      <c r="G1413" s="8" t="s">
        <v>1632</v>
      </c>
      <c r="H1413" s="1" t="s">
        <v>830</v>
      </c>
      <c r="I1413" s="1" t="n">
        <v>14</v>
      </c>
    </row>
    <row r="1414" customFormat="false" ht="15" hidden="false" customHeight="false" outlineLevel="0" collapsed="false">
      <c r="A1414" s="1" t="s">
        <v>2025</v>
      </c>
      <c r="B1414" s="1" t="s">
        <v>902</v>
      </c>
      <c r="C1414" s="1" t="s">
        <v>903</v>
      </c>
      <c r="D1414" s="1" t="s">
        <v>1788</v>
      </c>
      <c r="E1414" s="1" t="s">
        <v>2023</v>
      </c>
      <c r="F1414" s="1" t="s">
        <v>2026</v>
      </c>
      <c r="G1414" s="8" t="s">
        <v>1607</v>
      </c>
      <c r="I1414" s="1" t="n">
        <v>14</v>
      </c>
    </row>
    <row r="1415" customFormat="false" ht="15" hidden="false" customHeight="false" outlineLevel="0" collapsed="false">
      <c r="A1415" s="1" t="s">
        <v>2025</v>
      </c>
      <c r="B1415" s="1" t="s">
        <v>904</v>
      </c>
      <c r="C1415" s="1" t="s">
        <v>905</v>
      </c>
      <c r="D1415" s="1" t="s">
        <v>1788</v>
      </c>
      <c r="E1415" s="1" t="s">
        <v>2023</v>
      </c>
      <c r="F1415" s="1" t="s">
        <v>2026</v>
      </c>
      <c r="G1415" s="8" t="s">
        <v>1607</v>
      </c>
      <c r="I1415" s="1" t="n">
        <v>13</v>
      </c>
    </row>
    <row r="1416" customFormat="false" ht="15" hidden="false" customHeight="false" outlineLevel="0" collapsed="false">
      <c r="A1416" s="1" t="s">
        <v>2025</v>
      </c>
      <c r="B1416" s="1" t="s">
        <v>906</v>
      </c>
      <c r="C1416" s="1" t="s">
        <v>907</v>
      </c>
      <c r="D1416" s="1" t="s">
        <v>1788</v>
      </c>
      <c r="E1416" s="1" t="s">
        <v>2023</v>
      </c>
      <c r="F1416" s="1" t="s">
        <v>2026</v>
      </c>
      <c r="G1416" s="8" t="s">
        <v>1607</v>
      </c>
      <c r="I1416" s="1" t="n">
        <v>13</v>
      </c>
    </row>
    <row r="1417" customFormat="false" ht="15" hidden="false" customHeight="false" outlineLevel="0" collapsed="false">
      <c r="A1417" s="1" t="s">
        <v>2025</v>
      </c>
      <c r="B1417" s="1" t="s">
        <v>908</v>
      </c>
      <c r="C1417" s="1" t="s">
        <v>909</v>
      </c>
      <c r="D1417" s="1" t="s">
        <v>1788</v>
      </c>
      <c r="E1417" s="1" t="s">
        <v>2023</v>
      </c>
      <c r="F1417" s="1" t="s">
        <v>2026</v>
      </c>
      <c r="G1417" s="8" t="s">
        <v>1607</v>
      </c>
      <c r="I1417" s="1" t="n">
        <v>10</v>
      </c>
    </row>
    <row r="1418" customFormat="false" ht="15" hidden="false" customHeight="false" outlineLevel="0" collapsed="false">
      <c r="A1418" s="1" t="s">
        <v>2025</v>
      </c>
      <c r="B1418" s="1" t="s">
        <v>910</v>
      </c>
      <c r="C1418" s="1" t="s">
        <v>911</v>
      </c>
      <c r="D1418" s="1" t="s">
        <v>1788</v>
      </c>
      <c r="E1418" s="1" t="s">
        <v>2023</v>
      </c>
      <c r="F1418" s="1" t="s">
        <v>2026</v>
      </c>
      <c r="G1418" s="8" t="s">
        <v>1607</v>
      </c>
      <c r="I1418" s="1" t="n">
        <v>6</v>
      </c>
    </row>
    <row r="1419" customFormat="false" ht="15" hidden="false" customHeight="false" outlineLevel="0" collapsed="false">
      <c r="A1419" s="1" t="s">
        <v>2025</v>
      </c>
      <c r="B1419" s="1" t="s">
        <v>912</v>
      </c>
      <c r="C1419" s="1" t="s">
        <v>913</v>
      </c>
      <c r="D1419" s="1" t="s">
        <v>1788</v>
      </c>
      <c r="E1419" s="1" t="s">
        <v>2023</v>
      </c>
      <c r="F1419" s="1" t="s">
        <v>2026</v>
      </c>
      <c r="G1419" s="8" t="s">
        <v>1607</v>
      </c>
      <c r="I1419" s="1" t="n">
        <v>620</v>
      </c>
    </row>
    <row r="1420" customFormat="false" ht="15" hidden="false" customHeight="false" outlineLevel="0" collapsed="false">
      <c r="A1420" s="1" t="s">
        <v>2025</v>
      </c>
      <c r="B1420" s="1" t="s">
        <v>914</v>
      </c>
      <c r="C1420" s="1" t="s">
        <v>915</v>
      </c>
      <c r="D1420" s="1" t="s">
        <v>1788</v>
      </c>
      <c r="E1420" s="1" t="s">
        <v>2023</v>
      </c>
      <c r="F1420" s="1" t="s">
        <v>2026</v>
      </c>
      <c r="G1420" s="8" t="s">
        <v>1607</v>
      </c>
      <c r="I1420" s="1" t="n">
        <v>21</v>
      </c>
    </row>
    <row r="1421" customFormat="false" ht="15" hidden="false" customHeight="false" outlineLevel="0" collapsed="false">
      <c r="A1421" s="1" t="s">
        <v>2025</v>
      </c>
      <c r="B1421" s="1" t="s">
        <v>916</v>
      </c>
      <c r="C1421" s="1" t="s">
        <v>917</v>
      </c>
      <c r="D1421" s="1" t="s">
        <v>1788</v>
      </c>
      <c r="E1421" s="1" t="s">
        <v>2023</v>
      </c>
      <c r="F1421" s="1" t="s">
        <v>2026</v>
      </c>
      <c r="G1421" s="8" t="s">
        <v>1607</v>
      </c>
      <c r="I1421" s="1" t="n">
        <v>13</v>
      </c>
    </row>
    <row r="1422" customFormat="false" ht="15" hidden="false" customHeight="false" outlineLevel="0" collapsed="false">
      <c r="A1422" s="1" t="s">
        <v>2025</v>
      </c>
      <c r="B1422" s="1" t="s">
        <v>918</v>
      </c>
      <c r="C1422" s="1" t="s">
        <v>919</v>
      </c>
      <c r="D1422" s="1" t="s">
        <v>1788</v>
      </c>
      <c r="E1422" s="1" t="s">
        <v>2023</v>
      </c>
      <c r="F1422" s="1" t="s">
        <v>2026</v>
      </c>
      <c r="G1422" s="8" t="s">
        <v>1607</v>
      </c>
      <c r="I1422" s="1" t="n">
        <v>4</v>
      </c>
    </row>
    <row r="1423" customFormat="false" ht="15" hidden="false" customHeight="false" outlineLevel="0" collapsed="false">
      <c r="A1423" s="1" t="s">
        <v>2025</v>
      </c>
      <c r="B1423" s="1" t="s">
        <v>920</v>
      </c>
      <c r="C1423" s="1" t="s">
        <v>921</v>
      </c>
      <c r="D1423" s="1" t="s">
        <v>1788</v>
      </c>
      <c r="E1423" s="1" t="s">
        <v>2023</v>
      </c>
      <c r="F1423" s="1" t="s">
        <v>2026</v>
      </c>
      <c r="G1423" s="8" t="s">
        <v>1607</v>
      </c>
      <c r="I1423" s="1" t="n">
        <v>8</v>
      </c>
    </row>
    <row r="1424" customFormat="false" ht="15" hidden="false" customHeight="false" outlineLevel="0" collapsed="false">
      <c r="A1424" s="1" t="s">
        <v>2025</v>
      </c>
      <c r="B1424" s="1" t="s">
        <v>922</v>
      </c>
      <c r="C1424" s="1" t="s">
        <v>923</v>
      </c>
      <c r="D1424" s="1" t="s">
        <v>1788</v>
      </c>
      <c r="E1424" s="1" t="s">
        <v>2023</v>
      </c>
      <c r="F1424" s="1" t="s">
        <v>2026</v>
      </c>
      <c r="G1424" s="8" t="s">
        <v>1607</v>
      </c>
      <c r="I1424" s="1" t="n">
        <v>5</v>
      </c>
    </row>
    <row r="1425" customFormat="false" ht="15" hidden="false" customHeight="false" outlineLevel="0" collapsed="false">
      <c r="A1425" s="1" t="s">
        <v>2025</v>
      </c>
      <c r="B1425" s="1" t="s">
        <v>1499</v>
      </c>
      <c r="C1425" s="1" t="s">
        <v>1500</v>
      </c>
      <c r="D1425" s="1" t="s">
        <v>1788</v>
      </c>
      <c r="E1425" s="1" t="s">
        <v>2023</v>
      </c>
      <c r="F1425" s="1" t="s">
        <v>2026</v>
      </c>
      <c r="G1425" s="8" t="s">
        <v>1632</v>
      </c>
      <c r="H1425" s="1" t="s">
        <v>1502</v>
      </c>
      <c r="I1425" s="1" t="n">
        <v>23</v>
      </c>
    </row>
    <row r="1426" customFormat="false" ht="15" hidden="false" customHeight="false" outlineLevel="0" collapsed="false">
      <c r="A1426" s="1" t="s">
        <v>2025</v>
      </c>
      <c r="B1426" s="1" t="s">
        <v>1503</v>
      </c>
      <c r="C1426" s="1" t="s">
        <v>1504</v>
      </c>
      <c r="D1426" s="1" t="s">
        <v>1788</v>
      </c>
      <c r="E1426" s="1" t="s">
        <v>2023</v>
      </c>
      <c r="F1426" s="1" t="s">
        <v>2026</v>
      </c>
      <c r="G1426" s="8" t="s">
        <v>1632</v>
      </c>
      <c r="H1426" s="1" t="s">
        <v>1502</v>
      </c>
      <c r="I1426" s="1" t="n">
        <v>5</v>
      </c>
    </row>
    <row r="1427" customFormat="false" ht="15" hidden="false" customHeight="false" outlineLevel="0" collapsed="false">
      <c r="A1427" s="1" t="s">
        <v>2025</v>
      </c>
      <c r="B1427" s="1" t="s">
        <v>1505</v>
      </c>
      <c r="C1427" s="1" t="s">
        <v>1506</v>
      </c>
      <c r="D1427" s="1" t="s">
        <v>1788</v>
      </c>
      <c r="E1427" s="1" t="s">
        <v>2023</v>
      </c>
      <c r="F1427" s="1" t="s">
        <v>2026</v>
      </c>
      <c r="G1427" s="8" t="s">
        <v>1632</v>
      </c>
      <c r="H1427" s="1" t="s">
        <v>1502</v>
      </c>
      <c r="I1427" s="1" t="n">
        <v>6</v>
      </c>
    </row>
    <row r="1428" customFormat="false" ht="15" hidden="false" customHeight="false" outlineLevel="0" collapsed="false">
      <c r="A1428" s="1" t="s">
        <v>2025</v>
      </c>
      <c r="B1428" s="1" t="s">
        <v>1507</v>
      </c>
      <c r="C1428" s="1" t="s">
        <v>1508</v>
      </c>
      <c r="D1428" s="1" t="s">
        <v>1788</v>
      </c>
      <c r="E1428" s="1" t="s">
        <v>2023</v>
      </c>
      <c r="F1428" s="1" t="s">
        <v>2026</v>
      </c>
      <c r="G1428" s="8" t="s">
        <v>1607</v>
      </c>
      <c r="I1428" s="1" t="n">
        <v>29</v>
      </c>
    </row>
    <row r="1429" customFormat="false" ht="15" hidden="false" customHeight="false" outlineLevel="0" collapsed="false">
      <c r="A1429" s="1" t="s">
        <v>2025</v>
      </c>
      <c r="B1429" s="1" t="s">
        <v>1509</v>
      </c>
      <c r="C1429" s="1" t="s">
        <v>1510</v>
      </c>
      <c r="D1429" s="1" t="s">
        <v>1788</v>
      </c>
      <c r="E1429" s="1" t="s">
        <v>2023</v>
      </c>
      <c r="F1429" s="1" t="s">
        <v>2026</v>
      </c>
      <c r="G1429" s="8" t="s">
        <v>1632</v>
      </c>
      <c r="H1429" s="1" t="s">
        <v>1511</v>
      </c>
      <c r="I1429" s="1" t="n">
        <v>702</v>
      </c>
    </row>
    <row r="1430" customFormat="false" ht="15" hidden="false" customHeight="false" outlineLevel="0" collapsed="false">
      <c r="A1430" s="1" t="s">
        <v>2025</v>
      </c>
      <c r="B1430" s="1" t="s">
        <v>1512</v>
      </c>
      <c r="C1430" s="1" t="s">
        <v>1513</v>
      </c>
      <c r="D1430" s="1" t="s">
        <v>1788</v>
      </c>
      <c r="E1430" s="1" t="s">
        <v>2023</v>
      </c>
      <c r="F1430" s="1" t="s">
        <v>2026</v>
      </c>
      <c r="G1430" s="8" t="s">
        <v>1632</v>
      </c>
      <c r="H1430" s="1" t="s">
        <v>1511</v>
      </c>
      <c r="I1430" s="1" t="n">
        <v>692</v>
      </c>
    </row>
    <row r="1431" customFormat="false" ht="15" hidden="false" customHeight="false" outlineLevel="0" collapsed="false">
      <c r="A1431" s="1" t="s">
        <v>2025</v>
      </c>
      <c r="B1431" s="1" t="s">
        <v>1514</v>
      </c>
      <c r="C1431" s="1" t="s">
        <v>1515</v>
      </c>
      <c r="D1431" s="1" t="s">
        <v>1788</v>
      </c>
      <c r="E1431" s="1" t="s">
        <v>2023</v>
      </c>
      <c r="F1431" s="1" t="s">
        <v>2026</v>
      </c>
      <c r="G1431" s="8" t="s">
        <v>1632</v>
      </c>
      <c r="H1431" s="1" t="s">
        <v>1511</v>
      </c>
      <c r="I1431" s="1" t="n">
        <v>677</v>
      </c>
    </row>
    <row r="1432" customFormat="false" ht="15" hidden="false" customHeight="false" outlineLevel="0" collapsed="false">
      <c r="A1432" s="1" t="s">
        <v>2025</v>
      </c>
      <c r="B1432" s="1" t="s">
        <v>1516</v>
      </c>
      <c r="C1432" s="1" t="s">
        <v>1517</v>
      </c>
      <c r="D1432" s="1" t="s">
        <v>1788</v>
      </c>
      <c r="E1432" s="1" t="s">
        <v>2023</v>
      </c>
      <c r="F1432" s="1" t="s">
        <v>2026</v>
      </c>
      <c r="G1432" s="8" t="s">
        <v>1607</v>
      </c>
      <c r="I1432" s="1" t="n">
        <v>951</v>
      </c>
    </row>
    <row r="1433" customFormat="false" ht="15" hidden="false" customHeight="false" outlineLevel="0" collapsed="false">
      <c r="A1433" s="1" t="s">
        <v>2025</v>
      </c>
      <c r="B1433" s="1" t="s">
        <v>1518</v>
      </c>
      <c r="C1433" s="1" t="s">
        <v>1519</v>
      </c>
      <c r="D1433" s="1" t="s">
        <v>1788</v>
      </c>
      <c r="E1433" s="1" t="s">
        <v>2023</v>
      </c>
      <c r="F1433" s="1" t="s">
        <v>2026</v>
      </c>
      <c r="G1433" s="8" t="s">
        <v>1607</v>
      </c>
      <c r="I1433" s="1" t="n">
        <v>18</v>
      </c>
    </row>
    <row r="1434" customFormat="false" ht="15" hidden="false" customHeight="false" outlineLevel="0" collapsed="false">
      <c r="A1434" s="1" t="s">
        <v>2025</v>
      </c>
      <c r="B1434" s="1" t="s">
        <v>1520</v>
      </c>
      <c r="C1434" s="1" t="s">
        <v>1521</v>
      </c>
      <c r="D1434" s="1" t="s">
        <v>1788</v>
      </c>
      <c r="E1434" s="1" t="s">
        <v>2023</v>
      </c>
      <c r="F1434" s="1" t="s">
        <v>2026</v>
      </c>
      <c r="G1434" s="8" t="s">
        <v>1607</v>
      </c>
      <c r="I1434" s="1" t="n">
        <v>15</v>
      </c>
    </row>
    <row r="1435" customFormat="false" ht="15" hidden="false" customHeight="false" outlineLevel="0" collapsed="false">
      <c r="A1435" s="1" t="s">
        <v>2025</v>
      </c>
      <c r="B1435" s="1" t="s">
        <v>1522</v>
      </c>
      <c r="C1435" s="1" t="s">
        <v>1523</v>
      </c>
      <c r="D1435" s="1" t="s">
        <v>1788</v>
      </c>
      <c r="E1435" s="1" t="s">
        <v>2023</v>
      </c>
      <c r="F1435" s="1" t="s">
        <v>2026</v>
      </c>
      <c r="G1435" s="8" t="s">
        <v>1607</v>
      </c>
      <c r="I1435" s="1" t="n">
        <v>15</v>
      </c>
    </row>
    <row r="1436" customFormat="false" ht="15" hidden="false" customHeight="false" outlineLevel="0" collapsed="false">
      <c r="A1436" s="1" t="s">
        <v>2025</v>
      </c>
      <c r="B1436" s="1" t="s">
        <v>1524</v>
      </c>
      <c r="C1436" s="1" t="s">
        <v>1525</v>
      </c>
      <c r="D1436" s="1" t="s">
        <v>1788</v>
      </c>
      <c r="E1436" s="1" t="s">
        <v>2023</v>
      </c>
      <c r="F1436" s="1" t="s">
        <v>2026</v>
      </c>
      <c r="G1436" s="8" t="s">
        <v>1607</v>
      </c>
      <c r="I1436" s="1" t="n">
        <v>95</v>
      </c>
    </row>
    <row r="1437" customFormat="false" ht="15" hidden="false" customHeight="false" outlineLevel="0" collapsed="false">
      <c r="A1437" s="1" t="s">
        <v>2025</v>
      </c>
      <c r="B1437" s="1" t="s">
        <v>1526</v>
      </c>
      <c r="C1437" s="1" t="s">
        <v>1527</v>
      </c>
      <c r="D1437" s="1" t="s">
        <v>1788</v>
      </c>
      <c r="E1437" s="1" t="s">
        <v>2023</v>
      </c>
      <c r="F1437" s="1" t="s">
        <v>2026</v>
      </c>
      <c r="G1437" s="8" t="s">
        <v>1607</v>
      </c>
      <c r="I1437" s="1" t="n">
        <v>7</v>
      </c>
    </row>
    <row r="1438" customFormat="false" ht="15" hidden="false" customHeight="false" outlineLevel="0" collapsed="false">
      <c r="A1438" s="1" t="s">
        <v>2025</v>
      </c>
      <c r="B1438" s="1" t="s">
        <v>1087</v>
      </c>
      <c r="C1438" s="1" t="s">
        <v>1088</v>
      </c>
      <c r="D1438" s="1" t="s">
        <v>1788</v>
      </c>
      <c r="E1438" s="1" t="s">
        <v>2023</v>
      </c>
      <c r="F1438" s="1" t="s">
        <v>2026</v>
      </c>
      <c r="G1438" s="8" t="s">
        <v>1607</v>
      </c>
      <c r="I1438" s="1" t="n">
        <v>15</v>
      </c>
    </row>
    <row r="1439" customFormat="false" ht="15" hidden="false" customHeight="false" outlineLevel="0" collapsed="false">
      <c r="A1439" s="1" t="s">
        <v>2025</v>
      </c>
      <c r="B1439" s="1" t="s">
        <v>1090</v>
      </c>
      <c r="C1439" s="1" t="s">
        <v>1091</v>
      </c>
      <c r="D1439" s="1" t="s">
        <v>1788</v>
      </c>
      <c r="E1439" s="1" t="s">
        <v>2023</v>
      </c>
      <c r="F1439" s="1" t="s">
        <v>2026</v>
      </c>
      <c r="G1439" s="8" t="s">
        <v>1607</v>
      </c>
      <c r="I1439" s="1" t="n">
        <v>23</v>
      </c>
    </row>
    <row r="1440" customFormat="false" ht="15" hidden="false" customHeight="false" outlineLevel="0" collapsed="false">
      <c r="A1440" s="1" t="s">
        <v>2025</v>
      </c>
      <c r="B1440" s="1" t="s">
        <v>1092</v>
      </c>
      <c r="C1440" s="1" t="s">
        <v>1093</v>
      </c>
      <c r="D1440" s="1" t="s">
        <v>1788</v>
      </c>
      <c r="E1440" s="1" t="s">
        <v>2023</v>
      </c>
      <c r="F1440" s="1" t="s">
        <v>2026</v>
      </c>
      <c r="G1440" s="8" t="s">
        <v>1607</v>
      </c>
      <c r="I1440" s="1" t="n">
        <v>10</v>
      </c>
    </row>
    <row r="1441" customFormat="false" ht="15" hidden="false" customHeight="false" outlineLevel="0" collapsed="false">
      <c r="A1441" s="1" t="s">
        <v>2025</v>
      </c>
      <c r="B1441" s="1" t="s">
        <v>1094</v>
      </c>
      <c r="C1441" s="1" t="s">
        <v>1095</v>
      </c>
      <c r="D1441" s="1" t="s">
        <v>1788</v>
      </c>
      <c r="E1441" s="1" t="s">
        <v>2023</v>
      </c>
      <c r="F1441" s="1" t="s">
        <v>2026</v>
      </c>
      <c r="G1441" s="8" t="s">
        <v>1607</v>
      </c>
      <c r="I1441" s="1" t="n">
        <v>27</v>
      </c>
    </row>
    <row r="1442" customFormat="false" ht="15" hidden="false" customHeight="false" outlineLevel="0" collapsed="false">
      <c r="A1442" s="1" t="s">
        <v>2025</v>
      </c>
      <c r="B1442" s="1" t="s">
        <v>1096</v>
      </c>
      <c r="C1442" s="1" t="s">
        <v>1097</v>
      </c>
      <c r="D1442" s="1" t="s">
        <v>1788</v>
      </c>
      <c r="E1442" s="1" t="s">
        <v>2023</v>
      </c>
      <c r="F1442" s="1" t="s">
        <v>2026</v>
      </c>
      <c r="G1442" s="8" t="s">
        <v>1607</v>
      </c>
      <c r="I1442" s="1" t="n">
        <v>11</v>
      </c>
    </row>
    <row r="1443" customFormat="false" ht="15" hidden="false" customHeight="false" outlineLevel="0" collapsed="false">
      <c r="A1443" s="1" t="s">
        <v>2025</v>
      </c>
      <c r="B1443" s="1" t="s">
        <v>1098</v>
      </c>
      <c r="C1443" s="1" t="s">
        <v>1099</v>
      </c>
      <c r="D1443" s="1" t="s">
        <v>1788</v>
      </c>
      <c r="E1443" s="1" t="s">
        <v>2023</v>
      </c>
      <c r="F1443" s="1" t="s">
        <v>2026</v>
      </c>
      <c r="G1443" s="8" t="s">
        <v>1607</v>
      </c>
      <c r="I1443" s="1" t="n">
        <v>571</v>
      </c>
    </row>
    <row r="1444" customFormat="false" ht="15" hidden="false" customHeight="false" outlineLevel="0" collapsed="false">
      <c r="A1444" s="1" t="s">
        <v>2025</v>
      </c>
      <c r="B1444" s="1" t="s">
        <v>1100</v>
      </c>
      <c r="C1444" s="1" t="s">
        <v>1101</v>
      </c>
      <c r="D1444" s="1" t="s">
        <v>1788</v>
      </c>
      <c r="E1444" s="1" t="s">
        <v>2023</v>
      </c>
      <c r="F1444" s="1" t="s">
        <v>2026</v>
      </c>
      <c r="G1444" s="8" t="s">
        <v>1607</v>
      </c>
      <c r="I1444" s="1" t="n">
        <v>8</v>
      </c>
    </row>
    <row r="1445" customFormat="false" ht="15" hidden="false" customHeight="false" outlineLevel="0" collapsed="false">
      <c r="A1445" s="1" t="s">
        <v>2025</v>
      </c>
      <c r="B1445" s="1" t="s">
        <v>1100</v>
      </c>
      <c r="C1445" s="1" t="s">
        <v>1914</v>
      </c>
      <c r="D1445" s="1" t="s">
        <v>1788</v>
      </c>
      <c r="E1445" s="1" t="s">
        <v>2023</v>
      </c>
      <c r="F1445" s="1" t="s">
        <v>2026</v>
      </c>
      <c r="G1445" s="8" t="s">
        <v>1607</v>
      </c>
      <c r="I1445" s="1" t="n">
        <v>5</v>
      </c>
    </row>
    <row r="1446" customFormat="false" ht="15" hidden="false" customHeight="false" outlineLevel="0" collapsed="false">
      <c r="A1446" s="1" t="s">
        <v>2025</v>
      </c>
      <c r="B1446" s="1" t="s">
        <v>1100</v>
      </c>
      <c r="C1446" s="1" t="s">
        <v>1915</v>
      </c>
      <c r="D1446" s="1" t="s">
        <v>1788</v>
      </c>
      <c r="E1446" s="1" t="s">
        <v>2023</v>
      </c>
      <c r="F1446" s="1" t="s">
        <v>2026</v>
      </c>
      <c r="G1446" s="8" t="s">
        <v>1607</v>
      </c>
      <c r="I1446" s="1" t="n">
        <v>5</v>
      </c>
    </row>
    <row r="1447" customFormat="false" ht="15" hidden="false" customHeight="false" outlineLevel="0" collapsed="false">
      <c r="A1447" s="1" t="s">
        <v>2025</v>
      </c>
      <c r="B1447" s="1" t="s">
        <v>1100</v>
      </c>
      <c r="C1447" s="1" t="s">
        <v>1916</v>
      </c>
      <c r="D1447" s="1" t="s">
        <v>1788</v>
      </c>
      <c r="E1447" s="1" t="s">
        <v>2023</v>
      </c>
      <c r="F1447" s="1" t="s">
        <v>2026</v>
      </c>
      <c r="G1447" s="8" t="s">
        <v>1607</v>
      </c>
      <c r="I1447" s="1" t="n">
        <v>5</v>
      </c>
    </row>
    <row r="1448" customFormat="false" ht="15" hidden="false" customHeight="false" outlineLevel="0" collapsed="false">
      <c r="A1448" s="1" t="s">
        <v>2025</v>
      </c>
      <c r="B1448" s="1" t="s">
        <v>1100</v>
      </c>
      <c r="C1448" s="1" t="s">
        <v>1917</v>
      </c>
      <c r="D1448" s="1" t="s">
        <v>1788</v>
      </c>
      <c r="E1448" s="1" t="s">
        <v>2023</v>
      </c>
      <c r="F1448" s="1" t="s">
        <v>2026</v>
      </c>
      <c r="G1448" s="8" t="s">
        <v>1607</v>
      </c>
      <c r="I1448" s="1" t="n">
        <v>4</v>
      </c>
    </row>
    <row r="1449" customFormat="false" ht="15" hidden="false" customHeight="false" outlineLevel="0" collapsed="false">
      <c r="A1449" s="1" t="s">
        <v>2025</v>
      </c>
      <c r="B1449" s="1" t="s">
        <v>1100</v>
      </c>
      <c r="C1449" s="1" t="s">
        <v>1918</v>
      </c>
      <c r="D1449" s="1" t="s">
        <v>1788</v>
      </c>
      <c r="E1449" s="1" t="s">
        <v>2023</v>
      </c>
      <c r="F1449" s="1" t="s">
        <v>2026</v>
      </c>
      <c r="G1449" s="8" t="s">
        <v>1607</v>
      </c>
      <c r="I1449" s="1" t="n">
        <v>3</v>
      </c>
    </row>
    <row r="1450" customFormat="false" ht="15" hidden="false" customHeight="false" outlineLevel="0" collapsed="false">
      <c r="A1450" s="1" t="s">
        <v>2025</v>
      </c>
      <c r="B1450" s="1" t="s">
        <v>1100</v>
      </c>
      <c r="C1450" s="1" t="s">
        <v>1919</v>
      </c>
      <c r="D1450" s="1" t="s">
        <v>1788</v>
      </c>
      <c r="E1450" s="1" t="s">
        <v>2023</v>
      </c>
      <c r="F1450" s="1" t="s">
        <v>2026</v>
      </c>
      <c r="G1450" s="8" t="s">
        <v>1607</v>
      </c>
      <c r="I1450" s="1" t="n">
        <v>3</v>
      </c>
    </row>
    <row r="1451" customFormat="false" ht="15" hidden="false" customHeight="false" outlineLevel="0" collapsed="false">
      <c r="A1451" s="1" t="s">
        <v>2025</v>
      </c>
      <c r="B1451" s="1" t="s">
        <v>1100</v>
      </c>
      <c r="C1451" s="1" t="s">
        <v>1920</v>
      </c>
      <c r="D1451" s="1" t="s">
        <v>1788</v>
      </c>
      <c r="E1451" s="1" t="s">
        <v>2023</v>
      </c>
      <c r="F1451" s="1" t="s">
        <v>2026</v>
      </c>
      <c r="G1451" s="8" t="s">
        <v>1607</v>
      </c>
      <c r="I1451" s="1" t="n">
        <v>4</v>
      </c>
    </row>
    <row r="1452" customFormat="false" ht="15" hidden="false" customHeight="false" outlineLevel="0" collapsed="false">
      <c r="A1452" s="1" t="s">
        <v>2025</v>
      </c>
      <c r="B1452" s="1" t="s">
        <v>1100</v>
      </c>
      <c r="C1452" s="1" t="s">
        <v>1921</v>
      </c>
      <c r="D1452" s="1" t="s">
        <v>1788</v>
      </c>
      <c r="E1452" s="1" t="s">
        <v>2023</v>
      </c>
      <c r="F1452" s="1" t="s">
        <v>2026</v>
      </c>
      <c r="G1452" s="8" t="s">
        <v>1607</v>
      </c>
      <c r="I1452" s="1" t="n">
        <v>4</v>
      </c>
    </row>
    <row r="1453" customFormat="false" ht="15" hidden="false" customHeight="false" outlineLevel="0" collapsed="false">
      <c r="A1453" s="1" t="s">
        <v>2025</v>
      </c>
      <c r="B1453" s="1" t="s">
        <v>1100</v>
      </c>
      <c r="C1453" s="1" t="s">
        <v>1922</v>
      </c>
      <c r="D1453" s="1" t="s">
        <v>1788</v>
      </c>
      <c r="E1453" s="1" t="s">
        <v>2023</v>
      </c>
      <c r="F1453" s="1" t="s">
        <v>2026</v>
      </c>
      <c r="G1453" s="8" t="s">
        <v>1607</v>
      </c>
      <c r="I1453" s="1" t="n">
        <v>5</v>
      </c>
    </row>
    <row r="1454" customFormat="false" ht="15" hidden="false" customHeight="false" outlineLevel="0" collapsed="false">
      <c r="A1454" s="1" t="s">
        <v>2025</v>
      </c>
      <c r="B1454" s="1" t="s">
        <v>1100</v>
      </c>
      <c r="C1454" s="1" t="s">
        <v>1923</v>
      </c>
      <c r="D1454" s="1" t="s">
        <v>1788</v>
      </c>
      <c r="E1454" s="1" t="s">
        <v>2023</v>
      </c>
      <c r="F1454" s="1" t="s">
        <v>2026</v>
      </c>
      <c r="G1454" s="8" t="s">
        <v>1607</v>
      </c>
      <c r="I1454" s="1" t="n">
        <v>3</v>
      </c>
    </row>
    <row r="1455" customFormat="false" ht="15" hidden="false" customHeight="false" outlineLevel="0" collapsed="false">
      <c r="A1455" s="1" t="s">
        <v>2025</v>
      </c>
      <c r="B1455" s="1" t="s">
        <v>1100</v>
      </c>
      <c r="C1455" s="1" t="s">
        <v>1924</v>
      </c>
      <c r="D1455" s="1" t="s">
        <v>1788</v>
      </c>
      <c r="E1455" s="1" t="s">
        <v>2023</v>
      </c>
      <c r="F1455" s="1" t="s">
        <v>2026</v>
      </c>
      <c r="G1455" s="8" t="s">
        <v>1607</v>
      </c>
      <c r="I1455" s="1" t="n">
        <v>7</v>
      </c>
    </row>
    <row r="1456" customFormat="false" ht="15" hidden="false" customHeight="false" outlineLevel="0" collapsed="false">
      <c r="A1456" s="1" t="s">
        <v>2025</v>
      </c>
      <c r="B1456" s="1" t="s">
        <v>1100</v>
      </c>
      <c r="C1456" s="1" t="s">
        <v>1925</v>
      </c>
      <c r="D1456" s="1" t="s">
        <v>1788</v>
      </c>
      <c r="E1456" s="1" t="s">
        <v>2023</v>
      </c>
      <c r="F1456" s="1" t="s">
        <v>2026</v>
      </c>
      <c r="G1456" s="8" t="s">
        <v>1607</v>
      </c>
      <c r="I1456" s="1" t="n">
        <v>4</v>
      </c>
    </row>
    <row r="1457" customFormat="false" ht="15" hidden="false" customHeight="false" outlineLevel="0" collapsed="false">
      <c r="A1457" s="1" t="s">
        <v>2025</v>
      </c>
      <c r="B1457" s="1" t="s">
        <v>1100</v>
      </c>
      <c r="C1457" s="1" t="s">
        <v>1926</v>
      </c>
      <c r="D1457" s="1" t="s">
        <v>1788</v>
      </c>
      <c r="E1457" s="1" t="s">
        <v>2023</v>
      </c>
      <c r="F1457" s="1" t="s">
        <v>2026</v>
      </c>
      <c r="G1457" s="8" t="s">
        <v>1607</v>
      </c>
      <c r="I1457" s="1" t="n">
        <v>4</v>
      </c>
    </row>
    <row r="1458" customFormat="false" ht="15" hidden="false" customHeight="false" outlineLevel="0" collapsed="false">
      <c r="A1458" s="1" t="s">
        <v>2025</v>
      </c>
      <c r="B1458" s="1" t="s">
        <v>1100</v>
      </c>
      <c r="C1458" s="1" t="s">
        <v>1927</v>
      </c>
      <c r="D1458" s="1" t="s">
        <v>1788</v>
      </c>
      <c r="E1458" s="1" t="s">
        <v>2023</v>
      </c>
      <c r="F1458" s="1" t="s">
        <v>2026</v>
      </c>
      <c r="G1458" s="8" t="s">
        <v>1607</v>
      </c>
      <c r="I1458" s="1" t="n">
        <v>9</v>
      </c>
    </row>
    <row r="1459" customFormat="false" ht="15" hidden="false" customHeight="false" outlineLevel="0" collapsed="false">
      <c r="A1459" s="1" t="s">
        <v>2025</v>
      </c>
      <c r="B1459" s="1" t="s">
        <v>1102</v>
      </c>
      <c r="C1459" s="1" t="s">
        <v>1103</v>
      </c>
      <c r="D1459" s="1" t="s">
        <v>1788</v>
      </c>
      <c r="E1459" s="1" t="s">
        <v>2023</v>
      </c>
      <c r="F1459" s="1" t="s">
        <v>2026</v>
      </c>
      <c r="G1459" s="8" t="s">
        <v>1607</v>
      </c>
      <c r="I1459" s="1" t="n">
        <v>46</v>
      </c>
    </row>
    <row r="1460" customFormat="false" ht="15" hidden="false" customHeight="false" outlineLevel="0" collapsed="false">
      <c r="A1460" s="1" t="s">
        <v>2025</v>
      </c>
      <c r="B1460" s="1" t="s">
        <v>1104</v>
      </c>
      <c r="C1460" s="1" t="s">
        <v>1105</v>
      </c>
      <c r="D1460" s="1" t="s">
        <v>1788</v>
      </c>
      <c r="E1460" s="1" t="s">
        <v>2023</v>
      </c>
      <c r="F1460" s="1" t="s">
        <v>2026</v>
      </c>
      <c r="G1460" s="8" t="s">
        <v>1607</v>
      </c>
      <c r="I1460" s="1" t="n">
        <v>593</v>
      </c>
    </row>
    <row r="1461" customFormat="false" ht="15" hidden="false" customHeight="false" outlineLevel="0" collapsed="false">
      <c r="A1461" s="1" t="s">
        <v>2025</v>
      </c>
      <c r="B1461" s="1" t="s">
        <v>1106</v>
      </c>
      <c r="C1461" s="1" t="s">
        <v>1107</v>
      </c>
      <c r="D1461" s="1" t="s">
        <v>1788</v>
      </c>
      <c r="E1461" s="1" t="s">
        <v>2023</v>
      </c>
      <c r="F1461" s="1" t="s">
        <v>2026</v>
      </c>
      <c r="G1461" s="8" t="s">
        <v>1607</v>
      </c>
      <c r="I1461" s="1" t="n">
        <v>5</v>
      </c>
    </row>
    <row r="1462" customFormat="false" ht="15" hidden="false" customHeight="false" outlineLevel="0" collapsed="false">
      <c r="A1462" s="1" t="s">
        <v>2025</v>
      </c>
      <c r="B1462" s="1" t="s">
        <v>1108</v>
      </c>
      <c r="C1462" s="1" t="s">
        <v>1109</v>
      </c>
      <c r="D1462" s="1" t="s">
        <v>1788</v>
      </c>
      <c r="E1462" s="1" t="s">
        <v>2023</v>
      </c>
      <c r="F1462" s="1" t="s">
        <v>2026</v>
      </c>
      <c r="G1462" s="8" t="s">
        <v>1607</v>
      </c>
      <c r="I1462" s="1" t="n">
        <v>44</v>
      </c>
    </row>
    <row r="1463" customFormat="false" ht="15" hidden="false" customHeight="false" outlineLevel="0" collapsed="false">
      <c r="A1463" s="1" t="s">
        <v>2025</v>
      </c>
      <c r="B1463" s="1" t="s">
        <v>1108</v>
      </c>
      <c r="C1463" s="1" t="s">
        <v>1928</v>
      </c>
      <c r="D1463" s="1" t="s">
        <v>1788</v>
      </c>
      <c r="E1463" s="1" t="s">
        <v>2023</v>
      </c>
      <c r="F1463" s="1" t="s">
        <v>2026</v>
      </c>
      <c r="G1463" s="8" t="s">
        <v>1607</v>
      </c>
      <c r="I1463" s="1" t="n">
        <v>16</v>
      </c>
    </row>
    <row r="1464" customFormat="false" ht="15" hidden="false" customHeight="false" outlineLevel="0" collapsed="false">
      <c r="A1464" s="1" t="s">
        <v>2025</v>
      </c>
      <c r="B1464" s="1" t="s">
        <v>1108</v>
      </c>
      <c r="C1464" s="1" t="s">
        <v>1929</v>
      </c>
      <c r="D1464" s="1" t="s">
        <v>1788</v>
      </c>
      <c r="E1464" s="1" t="s">
        <v>2023</v>
      </c>
      <c r="F1464" s="1" t="s">
        <v>2026</v>
      </c>
      <c r="G1464" s="8" t="s">
        <v>1607</v>
      </c>
      <c r="I1464" s="1" t="n">
        <v>13</v>
      </c>
    </row>
    <row r="1465" customFormat="false" ht="15" hidden="false" customHeight="false" outlineLevel="0" collapsed="false">
      <c r="A1465" s="1" t="s">
        <v>2025</v>
      </c>
      <c r="B1465" s="1" t="s">
        <v>1108</v>
      </c>
      <c r="C1465" s="1" t="s">
        <v>1930</v>
      </c>
      <c r="D1465" s="1" t="s">
        <v>1788</v>
      </c>
      <c r="E1465" s="1" t="s">
        <v>2023</v>
      </c>
      <c r="F1465" s="1" t="s">
        <v>2026</v>
      </c>
      <c r="G1465" s="8" t="s">
        <v>1607</v>
      </c>
      <c r="I1465" s="1" t="n">
        <v>12</v>
      </c>
    </row>
    <row r="1466" customFormat="false" ht="15" hidden="false" customHeight="false" outlineLevel="0" collapsed="false">
      <c r="A1466" s="1" t="s">
        <v>2025</v>
      </c>
      <c r="B1466" s="1" t="s">
        <v>1110</v>
      </c>
      <c r="C1466" s="1" t="s">
        <v>1111</v>
      </c>
      <c r="D1466" s="1" t="s">
        <v>1788</v>
      </c>
      <c r="E1466" s="1" t="s">
        <v>2023</v>
      </c>
      <c r="F1466" s="1" t="s">
        <v>2026</v>
      </c>
      <c r="G1466" s="8" t="s">
        <v>1607</v>
      </c>
      <c r="I1466" s="1" t="n">
        <v>4</v>
      </c>
    </row>
    <row r="1467" customFormat="false" ht="15" hidden="false" customHeight="false" outlineLevel="0" collapsed="false">
      <c r="A1467" s="1" t="s">
        <v>2025</v>
      </c>
      <c r="B1467" s="1" t="s">
        <v>1110</v>
      </c>
      <c r="C1467" s="1" t="s">
        <v>1931</v>
      </c>
      <c r="D1467" s="1" t="s">
        <v>1788</v>
      </c>
      <c r="E1467" s="1" t="s">
        <v>2023</v>
      </c>
      <c r="F1467" s="1" t="s">
        <v>2026</v>
      </c>
      <c r="G1467" s="8" t="s">
        <v>1607</v>
      </c>
      <c r="I1467" s="1" t="n">
        <v>3</v>
      </c>
    </row>
    <row r="1468" customFormat="false" ht="15" hidden="false" customHeight="false" outlineLevel="0" collapsed="false">
      <c r="A1468" s="1" t="s">
        <v>2025</v>
      </c>
      <c r="B1468" s="1" t="s">
        <v>1110</v>
      </c>
      <c r="C1468" s="1" t="s">
        <v>1932</v>
      </c>
      <c r="D1468" s="1" t="s">
        <v>1788</v>
      </c>
      <c r="E1468" s="1" t="s">
        <v>2023</v>
      </c>
      <c r="F1468" s="1" t="s">
        <v>2026</v>
      </c>
      <c r="G1468" s="8" t="s">
        <v>1607</v>
      </c>
      <c r="I1468" s="1" t="n">
        <v>3</v>
      </c>
    </row>
    <row r="1469" customFormat="false" ht="15" hidden="false" customHeight="false" outlineLevel="0" collapsed="false">
      <c r="A1469" s="1" t="s">
        <v>2025</v>
      </c>
      <c r="B1469" s="1" t="s">
        <v>1110</v>
      </c>
      <c r="C1469" s="1" t="s">
        <v>1933</v>
      </c>
      <c r="D1469" s="1" t="s">
        <v>1788</v>
      </c>
      <c r="E1469" s="1" t="s">
        <v>2023</v>
      </c>
      <c r="F1469" s="1" t="s">
        <v>2026</v>
      </c>
      <c r="G1469" s="8" t="s">
        <v>1607</v>
      </c>
      <c r="I1469" s="1" t="n">
        <v>3</v>
      </c>
    </row>
    <row r="1470" customFormat="false" ht="15" hidden="false" customHeight="false" outlineLevel="0" collapsed="false">
      <c r="A1470" s="1" t="s">
        <v>2025</v>
      </c>
      <c r="B1470" s="1" t="s">
        <v>1110</v>
      </c>
      <c r="C1470" s="1" t="s">
        <v>1934</v>
      </c>
      <c r="D1470" s="1" t="s">
        <v>1788</v>
      </c>
      <c r="E1470" s="1" t="s">
        <v>2023</v>
      </c>
      <c r="F1470" s="1" t="s">
        <v>2026</v>
      </c>
      <c r="G1470" s="8" t="s">
        <v>1607</v>
      </c>
      <c r="I1470" s="1" t="n">
        <v>4</v>
      </c>
    </row>
    <row r="1471" customFormat="false" ht="15" hidden="false" customHeight="false" outlineLevel="0" collapsed="false">
      <c r="A1471" s="1" t="s">
        <v>2025</v>
      </c>
      <c r="B1471" s="1" t="s">
        <v>1110</v>
      </c>
      <c r="C1471" s="1" t="s">
        <v>1935</v>
      </c>
      <c r="D1471" s="1" t="s">
        <v>1788</v>
      </c>
      <c r="E1471" s="1" t="s">
        <v>2023</v>
      </c>
      <c r="F1471" s="1" t="s">
        <v>2026</v>
      </c>
      <c r="G1471" s="8" t="s">
        <v>1607</v>
      </c>
      <c r="I1471" s="1" t="n">
        <v>4</v>
      </c>
    </row>
    <row r="1472" customFormat="false" ht="15" hidden="false" customHeight="false" outlineLevel="0" collapsed="false">
      <c r="A1472" s="1" t="s">
        <v>2025</v>
      </c>
      <c r="B1472" s="1" t="s">
        <v>1110</v>
      </c>
      <c r="C1472" s="1" t="s">
        <v>1936</v>
      </c>
      <c r="D1472" s="1" t="s">
        <v>1788</v>
      </c>
      <c r="E1472" s="1" t="s">
        <v>2023</v>
      </c>
      <c r="F1472" s="1" t="s">
        <v>2026</v>
      </c>
      <c r="G1472" s="8" t="s">
        <v>1607</v>
      </c>
      <c r="I1472" s="1" t="n">
        <v>3</v>
      </c>
    </row>
    <row r="1473" customFormat="false" ht="15" hidden="false" customHeight="false" outlineLevel="0" collapsed="false">
      <c r="A1473" s="1" t="s">
        <v>2025</v>
      </c>
      <c r="B1473" s="1" t="s">
        <v>1110</v>
      </c>
      <c r="C1473" s="1" t="s">
        <v>1937</v>
      </c>
      <c r="D1473" s="1" t="s">
        <v>1788</v>
      </c>
      <c r="E1473" s="1" t="s">
        <v>2023</v>
      </c>
      <c r="F1473" s="1" t="s">
        <v>2026</v>
      </c>
      <c r="G1473" s="8" t="s">
        <v>1607</v>
      </c>
      <c r="I1473" s="1" t="n">
        <v>3</v>
      </c>
    </row>
    <row r="1474" customFormat="false" ht="15" hidden="false" customHeight="false" outlineLevel="0" collapsed="false">
      <c r="A1474" s="1" t="s">
        <v>2025</v>
      </c>
      <c r="B1474" s="1" t="s">
        <v>1110</v>
      </c>
      <c r="C1474" s="1" t="s">
        <v>1938</v>
      </c>
      <c r="D1474" s="1" t="s">
        <v>1788</v>
      </c>
      <c r="E1474" s="1" t="s">
        <v>2023</v>
      </c>
      <c r="F1474" s="1" t="s">
        <v>2026</v>
      </c>
      <c r="G1474" s="8" t="s">
        <v>1607</v>
      </c>
      <c r="I1474" s="1" t="n">
        <v>3</v>
      </c>
    </row>
    <row r="1475" customFormat="false" ht="15" hidden="false" customHeight="false" outlineLevel="0" collapsed="false">
      <c r="A1475" s="1" t="s">
        <v>2025</v>
      </c>
      <c r="B1475" s="1" t="s">
        <v>1110</v>
      </c>
      <c r="C1475" s="1" t="s">
        <v>1939</v>
      </c>
      <c r="D1475" s="1" t="s">
        <v>1788</v>
      </c>
      <c r="E1475" s="1" t="s">
        <v>2023</v>
      </c>
      <c r="F1475" s="1" t="s">
        <v>2026</v>
      </c>
      <c r="G1475" s="8" t="s">
        <v>1607</v>
      </c>
      <c r="I1475" s="1" t="n">
        <v>5</v>
      </c>
    </row>
    <row r="1476" customFormat="false" ht="15" hidden="false" customHeight="false" outlineLevel="0" collapsed="false">
      <c r="A1476" s="1" t="s">
        <v>2025</v>
      </c>
      <c r="B1476" s="1" t="s">
        <v>1110</v>
      </c>
      <c r="C1476" s="1" t="s">
        <v>1940</v>
      </c>
      <c r="D1476" s="1" t="s">
        <v>1788</v>
      </c>
      <c r="E1476" s="1" t="s">
        <v>2023</v>
      </c>
      <c r="F1476" s="1" t="s">
        <v>2026</v>
      </c>
      <c r="G1476" s="8" t="s">
        <v>1607</v>
      </c>
      <c r="I1476" s="1" t="n">
        <v>3</v>
      </c>
    </row>
    <row r="1477" customFormat="false" ht="15" hidden="false" customHeight="false" outlineLevel="0" collapsed="false">
      <c r="A1477" s="1" t="s">
        <v>2025</v>
      </c>
      <c r="B1477" s="1" t="s">
        <v>1112</v>
      </c>
      <c r="C1477" s="1" t="s">
        <v>1113</v>
      </c>
      <c r="D1477" s="1" t="s">
        <v>1788</v>
      </c>
      <c r="E1477" s="1" t="s">
        <v>2023</v>
      </c>
      <c r="F1477" s="1" t="s">
        <v>2026</v>
      </c>
      <c r="G1477" s="8" t="s">
        <v>1607</v>
      </c>
      <c r="I1477" s="1" t="n">
        <v>3</v>
      </c>
    </row>
    <row r="1478" customFormat="false" ht="15" hidden="false" customHeight="false" outlineLevel="0" collapsed="false">
      <c r="A1478" s="1" t="s">
        <v>2025</v>
      </c>
      <c r="B1478" s="1" t="s">
        <v>1114</v>
      </c>
      <c r="C1478" s="1" t="s">
        <v>1115</v>
      </c>
      <c r="D1478" s="1" t="s">
        <v>1788</v>
      </c>
      <c r="E1478" s="1" t="s">
        <v>2023</v>
      </c>
      <c r="F1478" s="1" t="s">
        <v>2026</v>
      </c>
      <c r="G1478" s="8" t="s">
        <v>1607</v>
      </c>
      <c r="I1478" s="1" t="n">
        <v>15</v>
      </c>
    </row>
    <row r="1479" customFormat="false" ht="15" hidden="false" customHeight="false" outlineLevel="0" collapsed="false">
      <c r="A1479" s="1" t="s">
        <v>2025</v>
      </c>
      <c r="B1479" s="1" t="s">
        <v>1116</v>
      </c>
      <c r="C1479" s="1" t="s">
        <v>1117</v>
      </c>
      <c r="D1479" s="1" t="s">
        <v>1788</v>
      </c>
      <c r="E1479" s="1" t="s">
        <v>2023</v>
      </c>
      <c r="F1479" s="1" t="s">
        <v>2026</v>
      </c>
      <c r="G1479" s="8" t="s">
        <v>1632</v>
      </c>
      <c r="H1479" s="1" t="s">
        <v>830</v>
      </c>
      <c r="I1479" s="1" t="n">
        <v>18</v>
      </c>
    </row>
    <row r="1480" customFormat="false" ht="15" hidden="false" customHeight="false" outlineLevel="0" collapsed="false">
      <c r="A1480" s="1" t="s">
        <v>2025</v>
      </c>
      <c r="B1480" s="1" t="s">
        <v>1118</v>
      </c>
      <c r="C1480" s="1" t="s">
        <v>1119</v>
      </c>
      <c r="D1480" s="1" t="s">
        <v>1788</v>
      </c>
      <c r="E1480" s="1" t="s">
        <v>2023</v>
      </c>
      <c r="F1480" s="1" t="s">
        <v>2026</v>
      </c>
      <c r="G1480" s="8" t="s">
        <v>1607</v>
      </c>
      <c r="I1480" s="1" t="n">
        <v>5</v>
      </c>
    </row>
    <row r="1481" customFormat="false" ht="15" hidden="false" customHeight="false" outlineLevel="0" collapsed="false">
      <c r="A1481" s="1" t="s">
        <v>2025</v>
      </c>
      <c r="B1481" s="1" t="s">
        <v>1120</v>
      </c>
      <c r="C1481" s="1" t="s">
        <v>1941</v>
      </c>
      <c r="D1481" s="1" t="s">
        <v>1788</v>
      </c>
      <c r="E1481" s="1" t="s">
        <v>2023</v>
      </c>
      <c r="F1481" s="1" t="s">
        <v>2026</v>
      </c>
      <c r="G1481" s="8" t="s">
        <v>1632</v>
      </c>
      <c r="H1481" s="1" t="s">
        <v>1122</v>
      </c>
      <c r="I1481" s="1" t="n">
        <v>16</v>
      </c>
    </row>
    <row r="1482" customFormat="false" ht="15" hidden="false" customHeight="false" outlineLevel="0" collapsed="false">
      <c r="A1482" s="1" t="s">
        <v>2025</v>
      </c>
      <c r="B1482" s="1" t="s">
        <v>1123</v>
      </c>
      <c r="C1482" s="1" t="s">
        <v>1124</v>
      </c>
      <c r="D1482" s="1" t="s">
        <v>1788</v>
      </c>
      <c r="E1482" s="1" t="s">
        <v>2023</v>
      </c>
      <c r="F1482" s="1" t="s">
        <v>2026</v>
      </c>
      <c r="G1482" s="8" t="s">
        <v>1632</v>
      </c>
      <c r="H1482" s="1" t="s">
        <v>1122</v>
      </c>
      <c r="I1482" s="1" t="n">
        <v>17</v>
      </c>
    </row>
    <row r="1483" customFormat="false" ht="15" hidden="false" customHeight="false" outlineLevel="0" collapsed="false">
      <c r="A1483" s="1" t="s">
        <v>2025</v>
      </c>
      <c r="B1483" s="1" t="s">
        <v>1125</v>
      </c>
      <c r="C1483" s="1" t="s">
        <v>1126</v>
      </c>
      <c r="D1483" s="1" t="s">
        <v>1788</v>
      </c>
      <c r="E1483" s="1" t="s">
        <v>2023</v>
      </c>
      <c r="F1483" s="1" t="s">
        <v>2026</v>
      </c>
      <c r="G1483" s="8" t="s">
        <v>1607</v>
      </c>
      <c r="I1483" s="1" t="n">
        <v>103</v>
      </c>
    </row>
    <row r="1484" customFormat="false" ht="15" hidden="false" customHeight="false" outlineLevel="0" collapsed="false">
      <c r="A1484" s="1" t="s">
        <v>2025</v>
      </c>
      <c r="B1484" s="1" t="s">
        <v>1127</v>
      </c>
      <c r="C1484" s="1" t="s">
        <v>1128</v>
      </c>
      <c r="D1484" s="1" t="s">
        <v>1788</v>
      </c>
      <c r="E1484" s="1" t="s">
        <v>2023</v>
      </c>
      <c r="F1484" s="1" t="s">
        <v>2026</v>
      </c>
      <c r="G1484" s="8" t="s">
        <v>1607</v>
      </c>
      <c r="I1484" s="1" t="n">
        <v>33</v>
      </c>
    </row>
    <row r="1485" customFormat="false" ht="15" hidden="false" customHeight="false" outlineLevel="0" collapsed="false">
      <c r="A1485" s="1" t="s">
        <v>2025</v>
      </c>
      <c r="B1485" s="1" t="s">
        <v>1129</v>
      </c>
      <c r="C1485" s="1" t="s">
        <v>1130</v>
      </c>
      <c r="D1485" s="1" t="s">
        <v>1788</v>
      </c>
      <c r="E1485" s="1" t="s">
        <v>2023</v>
      </c>
      <c r="F1485" s="1" t="s">
        <v>2026</v>
      </c>
      <c r="G1485" s="8" t="s">
        <v>1607</v>
      </c>
      <c r="I1485" s="1" t="n">
        <v>5</v>
      </c>
    </row>
    <row r="1486" customFormat="false" ht="15" hidden="false" customHeight="false" outlineLevel="0" collapsed="false">
      <c r="A1486" s="1" t="s">
        <v>2025</v>
      </c>
      <c r="B1486" s="1" t="s">
        <v>1131</v>
      </c>
      <c r="C1486" s="1" t="s">
        <v>1132</v>
      </c>
      <c r="D1486" s="1" t="s">
        <v>1788</v>
      </c>
      <c r="E1486" s="1" t="s">
        <v>2023</v>
      </c>
      <c r="F1486" s="1" t="s">
        <v>2026</v>
      </c>
      <c r="G1486" s="8" t="s">
        <v>1607</v>
      </c>
      <c r="I1486" s="1" t="n">
        <v>4</v>
      </c>
    </row>
    <row r="1487" customFormat="false" ht="15" hidden="false" customHeight="false" outlineLevel="0" collapsed="false">
      <c r="A1487" s="1" t="s">
        <v>2025</v>
      </c>
      <c r="B1487" s="1" t="s">
        <v>1133</v>
      </c>
      <c r="C1487" s="1" t="s">
        <v>1134</v>
      </c>
      <c r="D1487" s="1" t="s">
        <v>1788</v>
      </c>
      <c r="E1487" s="1" t="s">
        <v>2023</v>
      </c>
      <c r="F1487" s="1" t="s">
        <v>2026</v>
      </c>
      <c r="G1487" s="8" t="s">
        <v>1607</v>
      </c>
      <c r="I1487" s="1" t="n">
        <v>581</v>
      </c>
    </row>
    <row r="1488" customFormat="false" ht="15" hidden="false" customHeight="false" outlineLevel="0" collapsed="false">
      <c r="A1488" s="1" t="s">
        <v>2025</v>
      </c>
      <c r="B1488" s="1" t="s">
        <v>1135</v>
      </c>
      <c r="C1488" s="1" t="s">
        <v>1136</v>
      </c>
      <c r="D1488" s="1" t="s">
        <v>1788</v>
      </c>
      <c r="E1488" s="1" t="s">
        <v>2023</v>
      </c>
      <c r="F1488" s="1" t="s">
        <v>2026</v>
      </c>
      <c r="G1488" s="8" t="s">
        <v>1607</v>
      </c>
      <c r="I1488" s="1" t="n">
        <v>14</v>
      </c>
    </row>
    <row r="1489" customFormat="false" ht="15" hidden="false" customHeight="false" outlineLevel="0" collapsed="false">
      <c r="A1489" s="1" t="s">
        <v>2025</v>
      </c>
      <c r="B1489" s="1" t="s">
        <v>1135</v>
      </c>
      <c r="C1489" s="1" t="s">
        <v>1942</v>
      </c>
      <c r="D1489" s="1" t="s">
        <v>1788</v>
      </c>
      <c r="E1489" s="1" t="s">
        <v>2023</v>
      </c>
      <c r="F1489" s="1" t="s">
        <v>2026</v>
      </c>
      <c r="G1489" s="8" t="s">
        <v>1607</v>
      </c>
      <c r="I1489" s="1" t="n">
        <v>11</v>
      </c>
    </row>
    <row r="1490" customFormat="false" ht="15" hidden="false" customHeight="false" outlineLevel="0" collapsed="false">
      <c r="A1490" s="1" t="s">
        <v>2025</v>
      </c>
      <c r="B1490" s="1" t="s">
        <v>1135</v>
      </c>
      <c r="C1490" s="1" t="s">
        <v>1943</v>
      </c>
      <c r="D1490" s="1" t="s">
        <v>1788</v>
      </c>
      <c r="E1490" s="1" t="s">
        <v>2023</v>
      </c>
      <c r="F1490" s="1" t="s">
        <v>2026</v>
      </c>
      <c r="G1490" s="8" t="s">
        <v>1607</v>
      </c>
      <c r="I1490" s="1" t="n">
        <v>5</v>
      </c>
    </row>
    <row r="1491" customFormat="false" ht="15" hidden="false" customHeight="false" outlineLevel="0" collapsed="false">
      <c r="A1491" s="1" t="s">
        <v>2025</v>
      </c>
      <c r="B1491" s="1" t="s">
        <v>1135</v>
      </c>
      <c r="C1491" s="1" t="s">
        <v>1944</v>
      </c>
      <c r="D1491" s="1" t="s">
        <v>1788</v>
      </c>
      <c r="E1491" s="1" t="s">
        <v>2023</v>
      </c>
      <c r="F1491" s="1" t="s">
        <v>2026</v>
      </c>
      <c r="G1491" s="8" t="s">
        <v>1607</v>
      </c>
      <c r="I1491" s="1" t="n">
        <v>3</v>
      </c>
    </row>
    <row r="1492" customFormat="false" ht="15" hidden="false" customHeight="false" outlineLevel="0" collapsed="false">
      <c r="A1492" s="1" t="s">
        <v>2025</v>
      </c>
      <c r="B1492" s="1" t="s">
        <v>1135</v>
      </c>
      <c r="C1492" s="1" t="s">
        <v>1945</v>
      </c>
      <c r="D1492" s="1" t="s">
        <v>1788</v>
      </c>
      <c r="E1492" s="1" t="s">
        <v>2023</v>
      </c>
      <c r="F1492" s="1" t="s">
        <v>2026</v>
      </c>
      <c r="G1492" s="8" t="s">
        <v>1607</v>
      </c>
      <c r="I1492" s="1" t="n">
        <v>4</v>
      </c>
    </row>
    <row r="1493" customFormat="false" ht="15" hidden="false" customHeight="false" outlineLevel="0" collapsed="false">
      <c r="A1493" s="1" t="s">
        <v>2025</v>
      </c>
      <c r="B1493" s="1" t="s">
        <v>1137</v>
      </c>
      <c r="C1493" s="1" t="s">
        <v>1138</v>
      </c>
      <c r="D1493" s="1" t="s">
        <v>1788</v>
      </c>
      <c r="E1493" s="1" t="s">
        <v>2023</v>
      </c>
      <c r="F1493" s="1" t="s">
        <v>2026</v>
      </c>
      <c r="G1493" s="8" t="s">
        <v>1607</v>
      </c>
      <c r="I1493" s="1" t="n">
        <v>11</v>
      </c>
    </row>
    <row r="1494" customFormat="false" ht="15" hidden="false" customHeight="false" outlineLevel="0" collapsed="false">
      <c r="A1494" s="1" t="s">
        <v>2025</v>
      </c>
      <c r="B1494" s="1" t="s">
        <v>1206</v>
      </c>
      <c r="C1494" s="1" t="s">
        <v>1207</v>
      </c>
      <c r="D1494" s="1" t="s">
        <v>1788</v>
      </c>
      <c r="E1494" s="1" t="s">
        <v>2023</v>
      </c>
      <c r="F1494" s="1" t="s">
        <v>2026</v>
      </c>
      <c r="G1494" s="8" t="s">
        <v>1607</v>
      </c>
      <c r="I1494" s="1" t="n">
        <v>11</v>
      </c>
    </row>
    <row r="1495" customFormat="false" ht="15" hidden="false" customHeight="false" outlineLevel="0" collapsed="false">
      <c r="A1495" s="1" t="s">
        <v>2025</v>
      </c>
      <c r="B1495" s="1" t="s">
        <v>1209</v>
      </c>
      <c r="C1495" s="1" t="s">
        <v>1210</v>
      </c>
      <c r="D1495" s="1" t="s">
        <v>1788</v>
      </c>
      <c r="E1495" s="1" t="s">
        <v>2023</v>
      </c>
      <c r="F1495" s="1" t="s">
        <v>2026</v>
      </c>
      <c r="G1495" s="8" t="s">
        <v>1607</v>
      </c>
      <c r="I1495" s="1" t="n">
        <v>22</v>
      </c>
    </row>
    <row r="1496" customFormat="false" ht="15" hidden="false" customHeight="false" outlineLevel="0" collapsed="false">
      <c r="A1496" s="1" t="s">
        <v>2025</v>
      </c>
      <c r="B1496" s="1" t="s">
        <v>1211</v>
      </c>
      <c r="C1496" s="1" t="s">
        <v>1212</v>
      </c>
      <c r="D1496" s="1" t="s">
        <v>1788</v>
      </c>
      <c r="E1496" s="1" t="s">
        <v>2023</v>
      </c>
      <c r="F1496" s="1" t="s">
        <v>2026</v>
      </c>
      <c r="G1496" s="8" t="s">
        <v>1607</v>
      </c>
      <c r="I1496" s="1" t="n">
        <v>8</v>
      </c>
    </row>
    <row r="1497" customFormat="false" ht="15" hidden="false" customHeight="false" outlineLevel="0" collapsed="false">
      <c r="A1497" s="1" t="s">
        <v>2025</v>
      </c>
      <c r="B1497" s="1" t="s">
        <v>1213</v>
      </c>
      <c r="C1497" s="1" t="s">
        <v>1214</v>
      </c>
      <c r="D1497" s="1" t="s">
        <v>1788</v>
      </c>
      <c r="E1497" s="1" t="s">
        <v>2023</v>
      </c>
      <c r="F1497" s="1" t="s">
        <v>2026</v>
      </c>
      <c r="G1497" s="8" t="s">
        <v>1607</v>
      </c>
      <c r="I1497" s="1" t="n">
        <v>36</v>
      </c>
    </row>
    <row r="1498" customFormat="false" ht="15" hidden="false" customHeight="false" outlineLevel="0" collapsed="false">
      <c r="A1498" s="1" t="s">
        <v>2025</v>
      </c>
      <c r="B1498" s="1" t="s">
        <v>1215</v>
      </c>
      <c r="C1498" s="1" t="s">
        <v>1216</v>
      </c>
      <c r="D1498" s="1" t="s">
        <v>1788</v>
      </c>
      <c r="E1498" s="1" t="s">
        <v>2023</v>
      </c>
      <c r="F1498" s="1" t="s">
        <v>2026</v>
      </c>
      <c r="G1498" s="8" t="s">
        <v>1607</v>
      </c>
      <c r="I1498" s="1" t="n">
        <v>20</v>
      </c>
    </row>
    <row r="1499" customFormat="false" ht="15" hidden="false" customHeight="false" outlineLevel="0" collapsed="false">
      <c r="A1499" s="1" t="s">
        <v>2025</v>
      </c>
      <c r="B1499" s="1" t="s">
        <v>1217</v>
      </c>
      <c r="C1499" s="1" t="s">
        <v>1218</v>
      </c>
      <c r="D1499" s="1" t="s">
        <v>1788</v>
      </c>
      <c r="E1499" s="1" t="s">
        <v>2023</v>
      </c>
      <c r="F1499" s="1" t="s">
        <v>2026</v>
      </c>
      <c r="G1499" s="8" t="s">
        <v>1607</v>
      </c>
      <c r="I1499" s="1" t="n">
        <v>10</v>
      </c>
    </row>
    <row r="1500" customFormat="false" ht="15" hidden="false" customHeight="false" outlineLevel="0" collapsed="false">
      <c r="A1500" s="1" t="s">
        <v>2025</v>
      </c>
      <c r="B1500" s="1" t="s">
        <v>1217</v>
      </c>
      <c r="C1500" s="1" t="s">
        <v>1946</v>
      </c>
      <c r="D1500" s="1" t="s">
        <v>1788</v>
      </c>
      <c r="E1500" s="1" t="s">
        <v>2023</v>
      </c>
      <c r="F1500" s="1" t="s">
        <v>2026</v>
      </c>
      <c r="G1500" s="8" t="s">
        <v>1607</v>
      </c>
      <c r="I1500" s="1" t="n">
        <v>9</v>
      </c>
    </row>
    <row r="1501" customFormat="false" ht="15" hidden="false" customHeight="false" outlineLevel="0" collapsed="false">
      <c r="A1501" s="1" t="s">
        <v>2025</v>
      </c>
      <c r="B1501" s="1" t="s">
        <v>1217</v>
      </c>
      <c r="C1501" s="1" t="s">
        <v>1947</v>
      </c>
      <c r="D1501" s="1" t="s">
        <v>1788</v>
      </c>
      <c r="E1501" s="1" t="s">
        <v>2023</v>
      </c>
      <c r="F1501" s="1" t="s">
        <v>2026</v>
      </c>
      <c r="G1501" s="8" t="s">
        <v>1607</v>
      </c>
      <c r="I1501" s="1" t="n">
        <v>9</v>
      </c>
    </row>
    <row r="1502" customFormat="false" ht="15" hidden="false" customHeight="false" outlineLevel="0" collapsed="false">
      <c r="A1502" s="1" t="s">
        <v>2025</v>
      </c>
      <c r="B1502" s="1" t="s">
        <v>1217</v>
      </c>
      <c r="C1502" s="1" t="s">
        <v>1948</v>
      </c>
      <c r="D1502" s="1" t="s">
        <v>1788</v>
      </c>
      <c r="E1502" s="1" t="s">
        <v>2023</v>
      </c>
      <c r="F1502" s="1" t="s">
        <v>2026</v>
      </c>
      <c r="G1502" s="8" t="s">
        <v>1607</v>
      </c>
      <c r="I1502" s="1" t="n">
        <v>10</v>
      </c>
    </row>
    <row r="1503" customFormat="false" ht="15" hidden="false" customHeight="false" outlineLevel="0" collapsed="false">
      <c r="A1503" s="1" t="s">
        <v>2025</v>
      </c>
      <c r="B1503" s="1" t="s">
        <v>1217</v>
      </c>
      <c r="C1503" s="1" t="s">
        <v>1949</v>
      </c>
      <c r="D1503" s="1" t="s">
        <v>1788</v>
      </c>
      <c r="E1503" s="1" t="s">
        <v>2023</v>
      </c>
      <c r="F1503" s="1" t="s">
        <v>2026</v>
      </c>
      <c r="G1503" s="8" t="s">
        <v>1607</v>
      </c>
      <c r="I1503" s="1" t="n">
        <v>12</v>
      </c>
    </row>
    <row r="1504" customFormat="false" ht="15" hidden="false" customHeight="false" outlineLevel="0" collapsed="false">
      <c r="A1504" s="1" t="s">
        <v>2025</v>
      </c>
      <c r="B1504" s="1" t="s">
        <v>1217</v>
      </c>
      <c r="C1504" s="1" t="s">
        <v>1950</v>
      </c>
      <c r="D1504" s="1" t="s">
        <v>1788</v>
      </c>
      <c r="E1504" s="1" t="s">
        <v>2023</v>
      </c>
      <c r="F1504" s="1" t="s">
        <v>2026</v>
      </c>
      <c r="G1504" s="8" t="s">
        <v>1607</v>
      </c>
      <c r="I1504" s="1" t="n">
        <v>14</v>
      </c>
    </row>
    <row r="1505" customFormat="false" ht="15" hidden="false" customHeight="false" outlineLevel="0" collapsed="false">
      <c r="A1505" s="1" t="s">
        <v>2025</v>
      </c>
      <c r="B1505" s="1" t="s">
        <v>1217</v>
      </c>
      <c r="C1505" s="1" t="s">
        <v>1951</v>
      </c>
      <c r="D1505" s="1" t="s">
        <v>1788</v>
      </c>
      <c r="E1505" s="1" t="s">
        <v>2023</v>
      </c>
      <c r="F1505" s="1" t="s">
        <v>2026</v>
      </c>
      <c r="G1505" s="8" t="s">
        <v>1607</v>
      </c>
      <c r="I1505" s="1" t="n">
        <v>9</v>
      </c>
    </row>
    <row r="1506" customFormat="false" ht="15" hidden="false" customHeight="false" outlineLevel="0" collapsed="false">
      <c r="A1506" s="1" t="s">
        <v>2025</v>
      </c>
      <c r="B1506" s="1" t="s">
        <v>1219</v>
      </c>
      <c r="C1506" s="1" t="s">
        <v>1220</v>
      </c>
      <c r="D1506" s="1" t="s">
        <v>1788</v>
      </c>
      <c r="E1506" s="1" t="s">
        <v>2023</v>
      </c>
      <c r="F1506" s="1" t="s">
        <v>2026</v>
      </c>
      <c r="G1506" s="8" t="s">
        <v>1607</v>
      </c>
      <c r="I1506" s="1" t="n">
        <v>20</v>
      </c>
    </row>
    <row r="1507" customFormat="false" ht="15" hidden="false" customHeight="false" outlineLevel="0" collapsed="false">
      <c r="A1507" s="1" t="s">
        <v>2025</v>
      </c>
      <c r="B1507" s="1" t="s">
        <v>1221</v>
      </c>
      <c r="C1507" s="1" t="s">
        <v>1222</v>
      </c>
      <c r="D1507" s="1" t="s">
        <v>1788</v>
      </c>
      <c r="E1507" s="1" t="s">
        <v>2023</v>
      </c>
      <c r="F1507" s="1" t="s">
        <v>2026</v>
      </c>
      <c r="G1507" s="8" t="s">
        <v>1607</v>
      </c>
      <c r="I1507" s="1" t="n">
        <v>17</v>
      </c>
    </row>
    <row r="1508" customFormat="false" ht="15" hidden="false" customHeight="false" outlineLevel="0" collapsed="false">
      <c r="A1508" s="1" t="s">
        <v>2025</v>
      </c>
      <c r="B1508" s="1" t="s">
        <v>1223</v>
      </c>
      <c r="C1508" s="1" t="s">
        <v>1224</v>
      </c>
      <c r="D1508" s="1" t="s">
        <v>1788</v>
      </c>
      <c r="E1508" s="1" t="s">
        <v>2023</v>
      </c>
      <c r="F1508" s="1" t="s">
        <v>2026</v>
      </c>
      <c r="G1508" s="8" t="s">
        <v>1607</v>
      </c>
      <c r="I1508" s="1" t="n">
        <v>11</v>
      </c>
    </row>
    <row r="1509" customFormat="false" ht="15" hidden="false" customHeight="false" outlineLevel="0" collapsed="false">
      <c r="A1509" s="1" t="s">
        <v>2025</v>
      </c>
      <c r="B1509" s="1" t="s">
        <v>1223</v>
      </c>
      <c r="C1509" s="1" t="s">
        <v>1952</v>
      </c>
      <c r="D1509" s="1" t="s">
        <v>1788</v>
      </c>
      <c r="E1509" s="1" t="s">
        <v>2023</v>
      </c>
      <c r="F1509" s="1" t="s">
        <v>2026</v>
      </c>
      <c r="G1509" s="8" t="s">
        <v>1607</v>
      </c>
      <c r="I1509" s="1" t="n">
        <v>57</v>
      </c>
    </row>
    <row r="1510" customFormat="false" ht="15" hidden="false" customHeight="false" outlineLevel="0" collapsed="false">
      <c r="A1510" s="1" t="s">
        <v>2025</v>
      </c>
      <c r="B1510" s="1" t="s">
        <v>1223</v>
      </c>
      <c r="C1510" s="1" t="s">
        <v>1953</v>
      </c>
      <c r="D1510" s="1" t="s">
        <v>1788</v>
      </c>
      <c r="E1510" s="1" t="s">
        <v>2023</v>
      </c>
      <c r="F1510" s="1" t="s">
        <v>2026</v>
      </c>
      <c r="G1510" s="8" t="s">
        <v>1607</v>
      </c>
      <c r="I1510" s="1" t="n">
        <v>196</v>
      </c>
    </row>
    <row r="1511" customFormat="false" ht="15" hidden="false" customHeight="false" outlineLevel="0" collapsed="false">
      <c r="A1511" s="1" t="s">
        <v>2025</v>
      </c>
      <c r="B1511" s="1" t="s">
        <v>1223</v>
      </c>
      <c r="C1511" s="1" t="s">
        <v>1954</v>
      </c>
      <c r="D1511" s="1" t="s">
        <v>1788</v>
      </c>
      <c r="E1511" s="1" t="s">
        <v>2023</v>
      </c>
      <c r="F1511" s="1" t="s">
        <v>2026</v>
      </c>
      <c r="G1511" s="8" t="s">
        <v>1607</v>
      </c>
      <c r="I1511" s="1" t="n">
        <v>53</v>
      </c>
    </row>
    <row r="1512" customFormat="false" ht="15" hidden="false" customHeight="false" outlineLevel="0" collapsed="false">
      <c r="A1512" s="1" t="s">
        <v>2025</v>
      </c>
      <c r="B1512" s="1" t="s">
        <v>1223</v>
      </c>
      <c r="C1512" s="1" t="s">
        <v>1955</v>
      </c>
      <c r="D1512" s="1" t="s">
        <v>1788</v>
      </c>
      <c r="E1512" s="1" t="s">
        <v>2023</v>
      </c>
      <c r="F1512" s="1" t="s">
        <v>2026</v>
      </c>
      <c r="G1512" s="8" t="s">
        <v>1607</v>
      </c>
      <c r="I1512" s="1" t="n">
        <v>52</v>
      </c>
    </row>
    <row r="1513" customFormat="false" ht="15" hidden="false" customHeight="false" outlineLevel="0" collapsed="false">
      <c r="A1513" s="1" t="s">
        <v>2025</v>
      </c>
      <c r="B1513" s="1" t="s">
        <v>1225</v>
      </c>
      <c r="C1513" s="1" t="s">
        <v>1226</v>
      </c>
      <c r="D1513" s="1" t="s">
        <v>1788</v>
      </c>
      <c r="E1513" s="1" t="s">
        <v>2023</v>
      </c>
      <c r="F1513" s="1" t="s">
        <v>2026</v>
      </c>
      <c r="G1513" s="8" t="s">
        <v>1632</v>
      </c>
      <c r="H1513" s="1" t="s">
        <v>1227</v>
      </c>
      <c r="I1513" s="1" t="n">
        <v>200</v>
      </c>
    </row>
    <row r="1514" customFormat="false" ht="15" hidden="false" customHeight="false" outlineLevel="0" collapsed="false">
      <c r="A1514" s="1" t="s">
        <v>2025</v>
      </c>
      <c r="B1514" s="1" t="s">
        <v>1228</v>
      </c>
      <c r="C1514" s="1" t="s">
        <v>1229</v>
      </c>
      <c r="D1514" s="1" t="s">
        <v>1788</v>
      </c>
      <c r="E1514" s="1" t="s">
        <v>2023</v>
      </c>
      <c r="F1514" s="1" t="s">
        <v>2026</v>
      </c>
      <c r="G1514" s="8" t="s">
        <v>1607</v>
      </c>
      <c r="I1514" s="1" t="n">
        <v>608</v>
      </c>
    </row>
    <row r="1515" customFormat="false" ht="15" hidden="false" customHeight="false" outlineLevel="0" collapsed="false">
      <c r="A1515" s="1" t="s">
        <v>2025</v>
      </c>
      <c r="B1515" s="1" t="s">
        <v>1230</v>
      </c>
      <c r="C1515" s="1" t="s">
        <v>1231</v>
      </c>
      <c r="D1515" s="1" t="s">
        <v>1788</v>
      </c>
      <c r="E1515" s="1" t="s">
        <v>2023</v>
      </c>
      <c r="F1515" s="1" t="s">
        <v>2026</v>
      </c>
      <c r="G1515" s="8" t="s">
        <v>1607</v>
      </c>
      <c r="I1515" s="1" t="n">
        <v>16</v>
      </c>
    </row>
    <row r="1516" customFormat="false" ht="15" hidden="false" customHeight="false" outlineLevel="0" collapsed="false">
      <c r="A1516" s="1" t="s">
        <v>2025</v>
      </c>
      <c r="B1516" s="1" t="s">
        <v>1232</v>
      </c>
      <c r="C1516" s="1" t="s">
        <v>1233</v>
      </c>
      <c r="D1516" s="1" t="s">
        <v>1788</v>
      </c>
      <c r="E1516" s="1" t="s">
        <v>2023</v>
      </c>
      <c r="F1516" s="1" t="s">
        <v>2026</v>
      </c>
      <c r="G1516" s="8" t="s">
        <v>1607</v>
      </c>
      <c r="I1516" s="1" t="n">
        <v>260</v>
      </c>
    </row>
    <row r="1517" customFormat="false" ht="15" hidden="false" customHeight="false" outlineLevel="0" collapsed="false">
      <c r="A1517" s="1" t="s">
        <v>2025</v>
      </c>
      <c r="B1517" s="1" t="s">
        <v>1234</v>
      </c>
      <c r="C1517" s="1" t="s">
        <v>1235</v>
      </c>
      <c r="D1517" s="1" t="s">
        <v>1788</v>
      </c>
      <c r="E1517" s="1" t="s">
        <v>2023</v>
      </c>
      <c r="F1517" s="1" t="s">
        <v>2026</v>
      </c>
      <c r="G1517" s="8" t="s">
        <v>1607</v>
      </c>
      <c r="I1517" s="1" t="n">
        <v>78</v>
      </c>
    </row>
    <row r="1518" customFormat="false" ht="15" hidden="false" customHeight="false" outlineLevel="0" collapsed="false">
      <c r="A1518" s="1" t="s">
        <v>2025</v>
      </c>
      <c r="B1518" s="1" t="s">
        <v>1236</v>
      </c>
      <c r="C1518" s="1" t="s">
        <v>1237</v>
      </c>
      <c r="D1518" s="1" t="s">
        <v>1788</v>
      </c>
      <c r="E1518" s="1" t="s">
        <v>2023</v>
      </c>
      <c r="F1518" s="1" t="s">
        <v>2026</v>
      </c>
      <c r="G1518" s="8" t="s">
        <v>1632</v>
      </c>
      <c r="H1518" s="1" t="s">
        <v>1238</v>
      </c>
      <c r="I1518" s="1" t="n">
        <v>16</v>
      </c>
    </row>
    <row r="1519" customFormat="false" ht="15" hidden="false" customHeight="false" outlineLevel="0" collapsed="false">
      <c r="A1519" s="1" t="s">
        <v>2025</v>
      </c>
      <c r="B1519" s="1" t="s">
        <v>1239</v>
      </c>
      <c r="C1519" s="1" t="s">
        <v>1240</v>
      </c>
      <c r="D1519" s="1" t="s">
        <v>1788</v>
      </c>
      <c r="E1519" s="1" t="s">
        <v>2023</v>
      </c>
      <c r="F1519" s="1" t="s">
        <v>2026</v>
      </c>
      <c r="G1519" s="8" t="s">
        <v>1632</v>
      </c>
      <c r="H1519" s="1" t="s">
        <v>1238</v>
      </c>
      <c r="I1519" s="1" t="n">
        <v>23</v>
      </c>
    </row>
    <row r="1520" customFormat="false" ht="15" hidden="false" customHeight="false" outlineLevel="0" collapsed="false">
      <c r="A1520" s="1" t="s">
        <v>2025</v>
      </c>
      <c r="B1520" s="1" t="s">
        <v>566</v>
      </c>
      <c r="C1520" s="1" t="s">
        <v>1241</v>
      </c>
      <c r="D1520" s="1" t="s">
        <v>1788</v>
      </c>
      <c r="E1520" s="1" t="s">
        <v>2023</v>
      </c>
      <c r="F1520" s="1" t="s">
        <v>2026</v>
      </c>
      <c r="G1520" s="8" t="s">
        <v>1607</v>
      </c>
      <c r="I1520" s="1" t="n">
        <v>37</v>
      </c>
    </row>
    <row r="1521" customFormat="false" ht="15" hidden="false" customHeight="false" outlineLevel="0" collapsed="false">
      <c r="A1521" s="1" t="s">
        <v>2025</v>
      </c>
      <c r="B1521" s="1" t="s">
        <v>1242</v>
      </c>
      <c r="C1521" s="1" t="s">
        <v>1243</v>
      </c>
      <c r="D1521" s="1" t="s">
        <v>1788</v>
      </c>
      <c r="E1521" s="1" t="s">
        <v>2023</v>
      </c>
      <c r="F1521" s="1" t="s">
        <v>2026</v>
      </c>
      <c r="G1521" s="8" t="s">
        <v>1607</v>
      </c>
      <c r="I1521" s="1" t="n">
        <v>60</v>
      </c>
    </row>
    <row r="1522" customFormat="false" ht="15" hidden="false" customHeight="false" outlineLevel="0" collapsed="false">
      <c r="A1522" s="1" t="s">
        <v>2025</v>
      </c>
      <c r="B1522" s="1" t="s">
        <v>1242</v>
      </c>
      <c r="C1522" s="1" t="s">
        <v>1956</v>
      </c>
      <c r="D1522" s="1" t="s">
        <v>1788</v>
      </c>
      <c r="E1522" s="1" t="s">
        <v>2023</v>
      </c>
      <c r="F1522" s="1" t="s">
        <v>2026</v>
      </c>
      <c r="G1522" s="8" t="s">
        <v>1607</v>
      </c>
      <c r="I1522" s="1" t="n">
        <v>26</v>
      </c>
    </row>
    <row r="1523" customFormat="false" ht="15" hidden="false" customHeight="false" outlineLevel="0" collapsed="false">
      <c r="A1523" s="1" t="s">
        <v>2025</v>
      </c>
      <c r="B1523" s="1" t="s">
        <v>1242</v>
      </c>
      <c r="C1523" s="1" t="s">
        <v>1957</v>
      </c>
      <c r="D1523" s="1" t="s">
        <v>1788</v>
      </c>
      <c r="E1523" s="1" t="s">
        <v>2023</v>
      </c>
      <c r="F1523" s="1" t="s">
        <v>2026</v>
      </c>
      <c r="G1523" s="8" t="s">
        <v>1607</v>
      </c>
      <c r="I1523" s="1" t="n">
        <v>26</v>
      </c>
    </row>
    <row r="1524" customFormat="false" ht="15" hidden="false" customHeight="false" outlineLevel="0" collapsed="false">
      <c r="A1524" s="1" t="s">
        <v>2025</v>
      </c>
      <c r="B1524" s="1" t="s">
        <v>1242</v>
      </c>
      <c r="C1524" s="1" t="s">
        <v>1958</v>
      </c>
      <c r="D1524" s="1" t="s">
        <v>1788</v>
      </c>
      <c r="E1524" s="1" t="s">
        <v>2023</v>
      </c>
      <c r="F1524" s="1" t="s">
        <v>2026</v>
      </c>
      <c r="G1524" s="8" t="s">
        <v>1607</v>
      </c>
      <c r="I1524" s="1" t="n">
        <v>25</v>
      </c>
    </row>
    <row r="1525" customFormat="false" ht="15" hidden="false" customHeight="false" outlineLevel="0" collapsed="false">
      <c r="A1525" s="1" t="s">
        <v>2025</v>
      </c>
      <c r="B1525" s="1" t="s">
        <v>1242</v>
      </c>
      <c r="C1525" s="1" t="s">
        <v>1959</v>
      </c>
      <c r="D1525" s="1" t="s">
        <v>1788</v>
      </c>
      <c r="E1525" s="1" t="s">
        <v>2023</v>
      </c>
      <c r="F1525" s="1" t="s">
        <v>2026</v>
      </c>
      <c r="G1525" s="8" t="s">
        <v>1607</v>
      </c>
      <c r="I1525" s="1" t="n">
        <v>23</v>
      </c>
    </row>
    <row r="1526" customFormat="false" ht="15" hidden="false" customHeight="false" outlineLevel="0" collapsed="false">
      <c r="A1526" s="1" t="s">
        <v>2025</v>
      </c>
      <c r="B1526" s="1" t="s">
        <v>1242</v>
      </c>
      <c r="C1526" s="1" t="s">
        <v>1960</v>
      </c>
      <c r="D1526" s="1" t="s">
        <v>1788</v>
      </c>
      <c r="E1526" s="1" t="s">
        <v>2023</v>
      </c>
      <c r="F1526" s="1" t="s">
        <v>2026</v>
      </c>
      <c r="G1526" s="8" t="s">
        <v>1607</v>
      </c>
      <c r="I1526" s="1" t="n">
        <v>23</v>
      </c>
    </row>
    <row r="1527" customFormat="false" ht="15" hidden="false" customHeight="false" outlineLevel="0" collapsed="false">
      <c r="A1527" s="1" t="s">
        <v>2025</v>
      </c>
      <c r="B1527" s="1" t="s">
        <v>1242</v>
      </c>
      <c r="C1527" s="1" t="s">
        <v>1961</v>
      </c>
      <c r="D1527" s="1" t="s">
        <v>1788</v>
      </c>
      <c r="E1527" s="1" t="s">
        <v>2023</v>
      </c>
      <c r="F1527" s="1" t="s">
        <v>2026</v>
      </c>
      <c r="G1527" s="8" t="s">
        <v>1607</v>
      </c>
      <c r="I1527" s="1" t="n">
        <v>21</v>
      </c>
    </row>
    <row r="1528" customFormat="false" ht="15" hidden="false" customHeight="false" outlineLevel="0" collapsed="false">
      <c r="A1528" s="1" t="s">
        <v>2025</v>
      </c>
      <c r="B1528" s="1" t="s">
        <v>1244</v>
      </c>
      <c r="C1528" s="1" t="s">
        <v>1245</v>
      </c>
      <c r="D1528" s="1" t="s">
        <v>1788</v>
      </c>
      <c r="E1528" s="1" t="s">
        <v>2023</v>
      </c>
      <c r="F1528" s="1" t="s">
        <v>2026</v>
      </c>
      <c r="G1528" s="8" t="s">
        <v>1607</v>
      </c>
      <c r="I1528" s="1" t="n">
        <v>13</v>
      </c>
    </row>
    <row r="1529" customFormat="false" ht="15" hidden="false" customHeight="false" outlineLevel="0" collapsed="false">
      <c r="A1529" s="1" t="s">
        <v>2025</v>
      </c>
      <c r="B1529" s="1" t="s">
        <v>1244</v>
      </c>
      <c r="C1529" s="1" t="s">
        <v>1962</v>
      </c>
      <c r="D1529" s="1" t="s">
        <v>1788</v>
      </c>
      <c r="E1529" s="1" t="s">
        <v>2023</v>
      </c>
      <c r="F1529" s="1" t="s">
        <v>2026</v>
      </c>
      <c r="G1529" s="8" t="s">
        <v>1607</v>
      </c>
      <c r="I1529" s="1" t="n">
        <v>16</v>
      </c>
    </row>
    <row r="1530" customFormat="false" ht="15" hidden="false" customHeight="false" outlineLevel="0" collapsed="false">
      <c r="A1530" s="1" t="s">
        <v>2025</v>
      </c>
      <c r="B1530" s="1" t="s">
        <v>1244</v>
      </c>
      <c r="C1530" s="1" t="s">
        <v>1963</v>
      </c>
      <c r="D1530" s="1" t="s">
        <v>1788</v>
      </c>
      <c r="E1530" s="1" t="s">
        <v>2023</v>
      </c>
      <c r="F1530" s="1" t="s">
        <v>2026</v>
      </c>
      <c r="G1530" s="8" t="s">
        <v>1607</v>
      </c>
      <c r="I1530" s="1" t="n">
        <v>19</v>
      </c>
    </row>
    <row r="1531" customFormat="false" ht="15" hidden="false" customHeight="false" outlineLevel="0" collapsed="false">
      <c r="A1531" s="1" t="s">
        <v>2025</v>
      </c>
      <c r="B1531" s="1" t="s">
        <v>1244</v>
      </c>
      <c r="C1531" s="1" t="s">
        <v>1964</v>
      </c>
      <c r="D1531" s="1" t="s">
        <v>1788</v>
      </c>
      <c r="E1531" s="1" t="s">
        <v>2023</v>
      </c>
      <c r="F1531" s="1" t="s">
        <v>2026</v>
      </c>
      <c r="G1531" s="8" t="s">
        <v>1607</v>
      </c>
      <c r="I1531" s="1" t="n">
        <v>17</v>
      </c>
    </row>
    <row r="1532" customFormat="false" ht="15" hidden="false" customHeight="false" outlineLevel="0" collapsed="false">
      <c r="A1532" s="1" t="s">
        <v>2025</v>
      </c>
      <c r="B1532" s="1" t="s">
        <v>1246</v>
      </c>
      <c r="C1532" s="1" t="s">
        <v>1247</v>
      </c>
      <c r="D1532" s="1" t="s">
        <v>1788</v>
      </c>
      <c r="E1532" s="1" t="s">
        <v>2023</v>
      </c>
      <c r="F1532" s="1" t="s">
        <v>2026</v>
      </c>
      <c r="G1532" s="8" t="s">
        <v>1632</v>
      </c>
      <c r="H1532" s="1" t="s">
        <v>830</v>
      </c>
      <c r="I1532" s="1" t="n">
        <v>21</v>
      </c>
    </row>
    <row r="1533" customFormat="false" ht="15" hidden="false" customHeight="false" outlineLevel="0" collapsed="false">
      <c r="A1533" s="1" t="s">
        <v>2025</v>
      </c>
      <c r="B1533" s="1" t="s">
        <v>1248</v>
      </c>
      <c r="C1533" s="1" t="s">
        <v>1249</v>
      </c>
      <c r="D1533" s="1" t="s">
        <v>1788</v>
      </c>
      <c r="E1533" s="1" t="s">
        <v>2023</v>
      </c>
      <c r="F1533" s="1" t="s">
        <v>2026</v>
      </c>
      <c r="G1533" s="8" t="s">
        <v>1607</v>
      </c>
      <c r="I1533" s="1" t="n">
        <v>57</v>
      </c>
    </row>
    <row r="1534" customFormat="false" ht="15" hidden="false" customHeight="false" outlineLevel="0" collapsed="false">
      <c r="A1534" s="1" t="s">
        <v>2025</v>
      </c>
      <c r="B1534" s="1" t="s">
        <v>1250</v>
      </c>
      <c r="C1534" s="1" t="s">
        <v>1251</v>
      </c>
      <c r="D1534" s="1" t="s">
        <v>1788</v>
      </c>
      <c r="E1534" s="1" t="s">
        <v>2023</v>
      </c>
      <c r="F1534" s="1" t="s">
        <v>2026</v>
      </c>
      <c r="G1534" s="8" t="s">
        <v>1607</v>
      </c>
      <c r="I1534" s="1" t="n">
        <v>43</v>
      </c>
    </row>
    <row r="1535" customFormat="false" ht="15" hidden="false" customHeight="false" outlineLevel="0" collapsed="false">
      <c r="A1535" s="1" t="s">
        <v>2025</v>
      </c>
      <c r="B1535" s="1" t="s">
        <v>1252</v>
      </c>
      <c r="C1535" s="1" t="s">
        <v>1253</v>
      </c>
      <c r="D1535" s="1" t="s">
        <v>1788</v>
      </c>
      <c r="E1535" s="1" t="s">
        <v>2023</v>
      </c>
      <c r="F1535" s="1" t="s">
        <v>2026</v>
      </c>
      <c r="G1535" s="8" t="s">
        <v>1607</v>
      </c>
      <c r="I1535" s="1" t="n">
        <v>92</v>
      </c>
    </row>
    <row r="1536" customFormat="false" ht="15" hidden="false" customHeight="false" outlineLevel="0" collapsed="false">
      <c r="A1536" s="1" t="s">
        <v>2025</v>
      </c>
      <c r="B1536" s="1" t="s">
        <v>1254</v>
      </c>
      <c r="C1536" s="1" t="s">
        <v>1255</v>
      </c>
      <c r="D1536" s="1" t="s">
        <v>1788</v>
      </c>
      <c r="E1536" s="1" t="s">
        <v>2023</v>
      </c>
      <c r="F1536" s="1" t="s">
        <v>2026</v>
      </c>
      <c r="G1536" s="8" t="s">
        <v>1607</v>
      </c>
      <c r="I1536" s="1" t="n">
        <v>24</v>
      </c>
    </row>
    <row r="1537" customFormat="false" ht="15" hidden="false" customHeight="false" outlineLevel="0" collapsed="false">
      <c r="A1537" s="1" t="s">
        <v>2025</v>
      </c>
      <c r="B1537" s="1" t="s">
        <v>1256</v>
      </c>
      <c r="C1537" s="1" t="s">
        <v>1257</v>
      </c>
      <c r="D1537" s="1" t="s">
        <v>1788</v>
      </c>
      <c r="E1537" s="1" t="s">
        <v>2023</v>
      </c>
      <c r="F1537" s="1" t="s">
        <v>2026</v>
      </c>
      <c r="G1537" s="8" t="s">
        <v>1607</v>
      </c>
      <c r="I1537" s="1" t="n">
        <v>14</v>
      </c>
    </row>
    <row r="1538" customFormat="false" ht="15" hidden="false" customHeight="false" outlineLevel="0" collapsed="false">
      <c r="A1538" s="1" t="s">
        <v>2025</v>
      </c>
      <c r="B1538" s="1" t="s">
        <v>1256</v>
      </c>
      <c r="C1538" s="1" t="s">
        <v>1965</v>
      </c>
      <c r="D1538" s="1" t="s">
        <v>1788</v>
      </c>
      <c r="E1538" s="1" t="s">
        <v>2023</v>
      </c>
      <c r="F1538" s="1" t="s">
        <v>2026</v>
      </c>
      <c r="G1538" s="8" t="s">
        <v>1607</v>
      </c>
      <c r="I1538" s="1" t="n">
        <v>15</v>
      </c>
    </row>
    <row r="1539" customFormat="false" ht="15" hidden="false" customHeight="false" outlineLevel="0" collapsed="false">
      <c r="A1539" s="1" t="s">
        <v>2025</v>
      </c>
      <c r="B1539" s="1" t="s">
        <v>1256</v>
      </c>
      <c r="C1539" s="1" t="s">
        <v>1966</v>
      </c>
      <c r="D1539" s="1" t="s">
        <v>1788</v>
      </c>
      <c r="E1539" s="1" t="s">
        <v>2023</v>
      </c>
      <c r="F1539" s="1" t="s">
        <v>2026</v>
      </c>
      <c r="G1539" s="8" t="s">
        <v>1607</v>
      </c>
      <c r="I1539" s="1" t="n">
        <v>14</v>
      </c>
    </row>
    <row r="1540" customFormat="false" ht="15" hidden="false" customHeight="false" outlineLevel="0" collapsed="false">
      <c r="A1540" s="1" t="s">
        <v>2025</v>
      </c>
      <c r="B1540" s="1" t="s">
        <v>1256</v>
      </c>
      <c r="C1540" s="1" t="s">
        <v>1967</v>
      </c>
      <c r="D1540" s="1" t="s">
        <v>1788</v>
      </c>
      <c r="E1540" s="1" t="s">
        <v>2023</v>
      </c>
      <c r="F1540" s="1" t="s">
        <v>2026</v>
      </c>
      <c r="G1540" s="8" t="s">
        <v>1607</v>
      </c>
      <c r="I1540" s="1" t="n">
        <v>15</v>
      </c>
    </row>
    <row r="1541" customFormat="false" ht="15" hidden="false" customHeight="false" outlineLevel="0" collapsed="false">
      <c r="A1541" s="1" t="s">
        <v>2025</v>
      </c>
      <c r="B1541" s="1" t="s">
        <v>1256</v>
      </c>
      <c r="C1541" s="1" t="s">
        <v>1968</v>
      </c>
      <c r="D1541" s="1" t="s">
        <v>1788</v>
      </c>
      <c r="E1541" s="1" t="s">
        <v>2023</v>
      </c>
      <c r="F1541" s="1" t="s">
        <v>2026</v>
      </c>
      <c r="G1541" s="8" t="s">
        <v>1607</v>
      </c>
      <c r="I1541" s="1" t="n">
        <v>19</v>
      </c>
    </row>
    <row r="1542" customFormat="false" ht="15" hidden="false" customHeight="false" outlineLevel="0" collapsed="false">
      <c r="A1542" s="1" t="s">
        <v>2025</v>
      </c>
      <c r="B1542" s="1" t="s">
        <v>1256</v>
      </c>
      <c r="C1542" s="1" t="s">
        <v>1969</v>
      </c>
      <c r="D1542" s="1" t="s">
        <v>1788</v>
      </c>
      <c r="E1542" s="1" t="s">
        <v>2023</v>
      </c>
      <c r="F1542" s="1" t="s">
        <v>2026</v>
      </c>
      <c r="G1542" s="8" t="s">
        <v>1607</v>
      </c>
      <c r="I1542" s="1" t="n">
        <v>32</v>
      </c>
    </row>
    <row r="1543" customFormat="false" ht="15" hidden="false" customHeight="false" outlineLevel="0" collapsed="false">
      <c r="A1543" s="1" t="s">
        <v>2025</v>
      </c>
      <c r="B1543" s="1" t="s">
        <v>1256</v>
      </c>
      <c r="C1543" s="1" t="s">
        <v>1970</v>
      </c>
      <c r="D1543" s="1" t="s">
        <v>1788</v>
      </c>
      <c r="E1543" s="1" t="s">
        <v>2023</v>
      </c>
      <c r="F1543" s="1" t="s">
        <v>2026</v>
      </c>
      <c r="G1543" s="8" t="s">
        <v>1607</v>
      </c>
      <c r="I1543" s="1" t="n">
        <v>20</v>
      </c>
    </row>
    <row r="1544" customFormat="false" ht="15" hidden="false" customHeight="false" outlineLevel="0" collapsed="false">
      <c r="A1544" s="1" t="s">
        <v>2025</v>
      </c>
      <c r="B1544" s="1" t="s">
        <v>1256</v>
      </c>
      <c r="C1544" s="1" t="s">
        <v>1971</v>
      </c>
      <c r="D1544" s="1" t="s">
        <v>1788</v>
      </c>
      <c r="E1544" s="1" t="s">
        <v>2023</v>
      </c>
      <c r="F1544" s="1" t="s">
        <v>2026</v>
      </c>
      <c r="G1544" s="8" t="s">
        <v>1607</v>
      </c>
      <c r="I1544" s="1" t="n">
        <v>21</v>
      </c>
    </row>
    <row r="1545" customFormat="false" ht="15" hidden="false" customHeight="false" outlineLevel="0" collapsed="false">
      <c r="A1545" s="1" t="s">
        <v>2025</v>
      </c>
      <c r="B1545" s="1" t="s">
        <v>1256</v>
      </c>
      <c r="C1545" s="1" t="s">
        <v>1972</v>
      </c>
      <c r="D1545" s="1" t="s">
        <v>1788</v>
      </c>
      <c r="E1545" s="1" t="s">
        <v>2023</v>
      </c>
      <c r="F1545" s="1" t="s">
        <v>2026</v>
      </c>
      <c r="G1545" s="8" t="s">
        <v>1607</v>
      </c>
      <c r="I1545" s="1" t="n">
        <v>22</v>
      </c>
    </row>
    <row r="1546" customFormat="false" ht="15" hidden="false" customHeight="false" outlineLevel="0" collapsed="false">
      <c r="A1546" s="1" t="s">
        <v>2025</v>
      </c>
      <c r="B1546" s="1" t="s">
        <v>1256</v>
      </c>
      <c r="C1546" s="1" t="s">
        <v>1973</v>
      </c>
      <c r="D1546" s="1" t="s">
        <v>1788</v>
      </c>
      <c r="E1546" s="1" t="s">
        <v>2023</v>
      </c>
      <c r="F1546" s="1" t="s">
        <v>2026</v>
      </c>
      <c r="G1546" s="8" t="s">
        <v>1607</v>
      </c>
      <c r="I1546" s="1" t="n">
        <v>18</v>
      </c>
    </row>
    <row r="1547" customFormat="false" ht="15" hidden="false" customHeight="false" outlineLevel="0" collapsed="false">
      <c r="A1547" s="1" t="s">
        <v>2025</v>
      </c>
      <c r="B1547" s="1" t="s">
        <v>1256</v>
      </c>
      <c r="C1547" s="1" t="s">
        <v>1974</v>
      </c>
      <c r="D1547" s="1" t="s">
        <v>1788</v>
      </c>
      <c r="E1547" s="1" t="s">
        <v>2023</v>
      </c>
      <c r="F1547" s="1" t="s">
        <v>2026</v>
      </c>
      <c r="G1547" s="8" t="s">
        <v>1607</v>
      </c>
      <c r="I1547" s="1" t="n">
        <v>17</v>
      </c>
    </row>
    <row r="1548" customFormat="false" ht="15" hidden="false" customHeight="false" outlineLevel="0" collapsed="false">
      <c r="A1548" s="1" t="s">
        <v>2025</v>
      </c>
      <c r="B1548" s="1" t="s">
        <v>1258</v>
      </c>
      <c r="C1548" s="1" t="s">
        <v>1259</v>
      </c>
      <c r="D1548" s="1" t="s">
        <v>1788</v>
      </c>
      <c r="E1548" s="1" t="s">
        <v>2023</v>
      </c>
      <c r="F1548" s="1" t="s">
        <v>2026</v>
      </c>
      <c r="G1548" s="8" t="s">
        <v>1607</v>
      </c>
      <c r="I1548" s="1" t="n">
        <v>32</v>
      </c>
    </row>
    <row r="1549" customFormat="false" ht="15" hidden="false" customHeight="false" outlineLevel="0" collapsed="false">
      <c r="A1549" s="1" t="s">
        <v>2025</v>
      </c>
      <c r="B1549" s="1" t="s">
        <v>1260</v>
      </c>
      <c r="C1549" s="1" t="s">
        <v>1261</v>
      </c>
      <c r="D1549" s="1" t="s">
        <v>1788</v>
      </c>
      <c r="E1549" s="1" t="s">
        <v>2023</v>
      </c>
      <c r="F1549" s="1" t="s">
        <v>2026</v>
      </c>
      <c r="G1549" s="8" t="s">
        <v>1607</v>
      </c>
      <c r="I1549" s="1" t="n">
        <v>241</v>
      </c>
    </row>
    <row r="1550" customFormat="false" ht="15" hidden="false" customHeight="false" outlineLevel="0" collapsed="false">
      <c r="A1550" s="1" t="s">
        <v>2025</v>
      </c>
      <c r="B1550" s="1" t="s">
        <v>1262</v>
      </c>
      <c r="C1550" s="1" t="s">
        <v>1263</v>
      </c>
      <c r="D1550" s="1" t="s">
        <v>1788</v>
      </c>
      <c r="E1550" s="1" t="s">
        <v>2023</v>
      </c>
      <c r="F1550" s="1" t="s">
        <v>2026</v>
      </c>
      <c r="G1550" s="8" t="s">
        <v>1632</v>
      </c>
      <c r="H1550" s="1" t="s">
        <v>1264</v>
      </c>
      <c r="I1550" s="1" t="n">
        <v>42</v>
      </c>
    </row>
    <row r="1551" customFormat="false" ht="15" hidden="false" customHeight="false" outlineLevel="0" collapsed="false">
      <c r="A1551" s="1" t="s">
        <v>2025</v>
      </c>
      <c r="B1551" s="1" t="s">
        <v>1265</v>
      </c>
      <c r="C1551" s="1" t="s">
        <v>1266</v>
      </c>
      <c r="D1551" s="1" t="s">
        <v>1788</v>
      </c>
      <c r="E1551" s="1" t="s">
        <v>2023</v>
      </c>
      <c r="F1551" s="1" t="s">
        <v>2026</v>
      </c>
      <c r="G1551" s="8" t="s">
        <v>1607</v>
      </c>
      <c r="I1551" s="1" t="n">
        <v>32</v>
      </c>
    </row>
    <row r="1552" customFormat="false" ht="15" hidden="false" customHeight="false" outlineLevel="0" collapsed="false">
      <c r="A1552" s="1" t="s">
        <v>2025</v>
      </c>
      <c r="B1552" s="1" t="s">
        <v>1267</v>
      </c>
      <c r="C1552" s="1" t="s">
        <v>1268</v>
      </c>
      <c r="D1552" s="1" t="s">
        <v>1788</v>
      </c>
      <c r="E1552" s="1" t="s">
        <v>2023</v>
      </c>
      <c r="F1552" s="1" t="s">
        <v>2026</v>
      </c>
      <c r="G1552" s="8" t="s">
        <v>1607</v>
      </c>
      <c r="I1552" s="1" t="n">
        <v>13</v>
      </c>
    </row>
    <row r="1553" customFormat="false" ht="15" hidden="false" customHeight="false" outlineLevel="0" collapsed="false">
      <c r="A1553" s="1" t="s">
        <v>2025</v>
      </c>
      <c r="B1553" s="1" t="s">
        <v>1309</v>
      </c>
      <c r="C1553" s="1" t="s">
        <v>1310</v>
      </c>
      <c r="D1553" s="1" t="s">
        <v>1788</v>
      </c>
      <c r="E1553" s="1" t="s">
        <v>2023</v>
      </c>
      <c r="F1553" s="1" t="s">
        <v>2026</v>
      </c>
      <c r="G1553" s="8" t="s">
        <v>1607</v>
      </c>
      <c r="I1553" s="1" t="n">
        <v>16</v>
      </c>
    </row>
    <row r="1554" customFormat="false" ht="15" hidden="false" customHeight="false" outlineLevel="0" collapsed="false">
      <c r="A1554" s="1" t="s">
        <v>2025</v>
      </c>
      <c r="B1554" s="1" t="s">
        <v>1312</v>
      </c>
      <c r="C1554" s="1" t="s">
        <v>1313</v>
      </c>
      <c r="D1554" s="1" t="s">
        <v>1788</v>
      </c>
      <c r="E1554" s="1" t="s">
        <v>2023</v>
      </c>
      <c r="F1554" s="1" t="s">
        <v>2026</v>
      </c>
      <c r="G1554" s="8" t="s">
        <v>1607</v>
      </c>
      <c r="I1554" s="1" t="n">
        <v>17</v>
      </c>
    </row>
    <row r="1555" customFormat="false" ht="15" hidden="false" customHeight="false" outlineLevel="0" collapsed="false">
      <c r="A1555" s="1" t="s">
        <v>2025</v>
      </c>
      <c r="B1555" s="1" t="s">
        <v>1312</v>
      </c>
      <c r="C1555" s="1" t="s">
        <v>1975</v>
      </c>
      <c r="D1555" s="1" t="s">
        <v>1788</v>
      </c>
      <c r="E1555" s="1" t="s">
        <v>2023</v>
      </c>
      <c r="F1555" s="1" t="s">
        <v>2026</v>
      </c>
      <c r="G1555" s="8" t="s">
        <v>1607</v>
      </c>
      <c r="I1555" s="1" t="n">
        <v>12</v>
      </c>
    </row>
    <row r="1556" customFormat="false" ht="15" hidden="false" customHeight="false" outlineLevel="0" collapsed="false">
      <c r="A1556" s="1" t="s">
        <v>2025</v>
      </c>
      <c r="B1556" s="1" t="s">
        <v>1312</v>
      </c>
      <c r="C1556" s="1" t="s">
        <v>1976</v>
      </c>
      <c r="D1556" s="1" t="s">
        <v>1788</v>
      </c>
      <c r="E1556" s="1" t="s">
        <v>2023</v>
      </c>
      <c r="F1556" s="1" t="s">
        <v>2026</v>
      </c>
      <c r="G1556" s="8" t="s">
        <v>1607</v>
      </c>
      <c r="I1556" s="1" t="n">
        <v>12</v>
      </c>
    </row>
    <row r="1557" customFormat="false" ht="15" hidden="false" customHeight="false" outlineLevel="0" collapsed="false">
      <c r="A1557" s="1" t="s">
        <v>2025</v>
      </c>
      <c r="B1557" s="1" t="s">
        <v>1312</v>
      </c>
      <c r="C1557" s="1" t="s">
        <v>1977</v>
      </c>
      <c r="D1557" s="1" t="s">
        <v>1788</v>
      </c>
      <c r="E1557" s="1" t="s">
        <v>2023</v>
      </c>
      <c r="F1557" s="1" t="s">
        <v>2026</v>
      </c>
      <c r="G1557" s="8" t="s">
        <v>1607</v>
      </c>
      <c r="I1557" s="1" t="n">
        <v>11</v>
      </c>
    </row>
    <row r="1558" customFormat="false" ht="15" hidden="false" customHeight="false" outlineLevel="0" collapsed="false">
      <c r="A1558" s="1" t="s">
        <v>2025</v>
      </c>
      <c r="B1558" s="1" t="s">
        <v>1312</v>
      </c>
      <c r="C1558" s="1" t="s">
        <v>1978</v>
      </c>
      <c r="D1558" s="1" t="s">
        <v>1788</v>
      </c>
      <c r="E1558" s="1" t="s">
        <v>2023</v>
      </c>
      <c r="F1558" s="1" t="s">
        <v>2026</v>
      </c>
      <c r="G1558" s="8" t="s">
        <v>1607</v>
      </c>
      <c r="I1558" s="1" t="n">
        <v>10</v>
      </c>
    </row>
    <row r="1559" customFormat="false" ht="15" hidden="false" customHeight="false" outlineLevel="0" collapsed="false">
      <c r="A1559" s="1" t="s">
        <v>2025</v>
      </c>
      <c r="B1559" s="1" t="s">
        <v>1312</v>
      </c>
      <c r="C1559" s="1" t="s">
        <v>1979</v>
      </c>
      <c r="D1559" s="1" t="s">
        <v>1788</v>
      </c>
      <c r="E1559" s="1" t="s">
        <v>2023</v>
      </c>
      <c r="F1559" s="1" t="s">
        <v>2026</v>
      </c>
      <c r="G1559" s="8" t="s">
        <v>1607</v>
      </c>
      <c r="I1559" s="1" t="n">
        <v>10</v>
      </c>
    </row>
    <row r="1560" customFormat="false" ht="15" hidden="false" customHeight="false" outlineLevel="0" collapsed="false">
      <c r="A1560" s="1" t="s">
        <v>2025</v>
      </c>
      <c r="B1560" s="1" t="s">
        <v>1312</v>
      </c>
      <c r="C1560" s="1" t="s">
        <v>1980</v>
      </c>
      <c r="D1560" s="1" t="s">
        <v>1788</v>
      </c>
      <c r="E1560" s="1" t="s">
        <v>2023</v>
      </c>
      <c r="F1560" s="1" t="s">
        <v>2026</v>
      </c>
      <c r="G1560" s="8" t="s">
        <v>1607</v>
      </c>
      <c r="I1560" s="1" t="n">
        <v>10</v>
      </c>
    </row>
    <row r="1561" customFormat="false" ht="15" hidden="false" customHeight="false" outlineLevel="0" collapsed="false">
      <c r="A1561" s="1" t="s">
        <v>2025</v>
      </c>
      <c r="B1561" s="1" t="s">
        <v>1312</v>
      </c>
      <c r="C1561" s="1" t="s">
        <v>1981</v>
      </c>
      <c r="D1561" s="1" t="s">
        <v>1788</v>
      </c>
      <c r="E1561" s="1" t="s">
        <v>2023</v>
      </c>
      <c r="F1561" s="1" t="s">
        <v>2026</v>
      </c>
      <c r="G1561" s="8" t="s">
        <v>1607</v>
      </c>
      <c r="I1561" s="1" t="n">
        <v>9</v>
      </c>
    </row>
    <row r="1562" customFormat="false" ht="15" hidden="false" customHeight="false" outlineLevel="0" collapsed="false">
      <c r="A1562" s="1" t="s">
        <v>2025</v>
      </c>
      <c r="B1562" s="1" t="s">
        <v>1312</v>
      </c>
      <c r="C1562" s="1" t="s">
        <v>1982</v>
      </c>
      <c r="D1562" s="1" t="s">
        <v>1788</v>
      </c>
      <c r="E1562" s="1" t="s">
        <v>2023</v>
      </c>
      <c r="F1562" s="1" t="s">
        <v>2026</v>
      </c>
      <c r="G1562" s="8" t="s">
        <v>1607</v>
      </c>
      <c r="I1562" s="1" t="n">
        <v>9</v>
      </c>
    </row>
    <row r="1563" customFormat="false" ht="15" hidden="false" customHeight="false" outlineLevel="0" collapsed="false">
      <c r="A1563" s="1" t="s">
        <v>2025</v>
      </c>
      <c r="B1563" s="1" t="s">
        <v>1312</v>
      </c>
      <c r="C1563" s="1" t="s">
        <v>1983</v>
      </c>
      <c r="D1563" s="1" t="s">
        <v>1788</v>
      </c>
      <c r="E1563" s="1" t="s">
        <v>2023</v>
      </c>
      <c r="F1563" s="1" t="s">
        <v>2026</v>
      </c>
      <c r="G1563" s="8" t="s">
        <v>1607</v>
      </c>
      <c r="I1563" s="1" t="n">
        <v>10</v>
      </c>
    </row>
    <row r="1564" customFormat="false" ht="15" hidden="false" customHeight="false" outlineLevel="0" collapsed="false">
      <c r="A1564" s="1" t="s">
        <v>2025</v>
      </c>
      <c r="B1564" s="1" t="s">
        <v>1312</v>
      </c>
      <c r="C1564" s="1" t="s">
        <v>1984</v>
      </c>
      <c r="D1564" s="1" t="s">
        <v>1788</v>
      </c>
      <c r="E1564" s="1" t="s">
        <v>2023</v>
      </c>
      <c r="F1564" s="1" t="s">
        <v>2026</v>
      </c>
      <c r="G1564" s="8" t="s">
        <v>1607</v>
      </c>
      <c r="I1564" s="1" t="n">
        <v>9</v>
      </c>
    </row>
    <row r="1565" customFormat="false" ht="15" hidden="false" customHeight="false" outlineLevel="0" collapsed="false">
      <c r="A1565" s="1" t="s">
        <v>2025</v>
      </c>
      <c r="B1565" s="1" t="s">
        <v>1314</v>
      </c>
      <c r="C1565" s="1" t="s">
        <v>1315</v>
      </c>
      <c r="D1565" s="1" t="s">
        <v>1788</v>
      </c>
      <c r="E1565" s="1" t="s">
        <v>2023</v>
      </c>
      <c r="F1565" s="1" t="s">
        <v>2026</v>
      </c>
      <c r="G1565" s="8" t="s">
        <v>1607</v>
      </c>
      <c r="I1565" s="1" t="n">
        <v>4</v>
      </c>
    </row>
    <row r="1566" customFormat="false" ht="15" hidden="false" customHeight="false" outlineLevel="0" collapsed="false">
      <c r="A1566" s="1" t="s">
        <v>2025</v>
      </c>
      <c r="B1566" s="1" t="s">
        <v>1314</v>
      </c>
      <c r="C1566" s="1" t="s">
        <v>1985</v>
      </c>
      <c r="D1566" s="1" t="s">
        <v>1788</v>
      </c>
      <c r="E1566" s="1" t="s">
        <v>2023</v>
      </c>
      <c r="F1566" s="1" t="s">
        <v>2026</v>
      </c>
      <c r="G1566" s="8" t="s">
        <v>1607</v>
      </c>
      <c r="I1566" s="1" t="n">
        <v>6</v>
      </c>
    </row>
    <row r="1567" customFormat="false" ht="15" hidden="false" customHeight="false" outlineLevel="0" collapsed="false">
      <c r="A1567" s="1" t="s">
        <v>2025</v>
      </c>
      <c r="B1567" s="1" t="s">
        <v>1314</v>
      </c>
      <c r="C1567" s="1" t="s">
        <v>1986</v>
      </c>
      <c r="D1567" s="1" t="s">
        <v>1788</v>
      </c>
      <c r="E1567" s="1" t="s">
        <v>2023</v>
      </c>
      <c r="F1567" s="1" t="s">
        <v>2026</v>
      </c>
      <c r="G1567" s="8" t="s">
        <v>1607</v>
      </c>
      <c r="I1567" s="1" t="n">
        <v>4</v>
      </c>
    </row>
    <row r="1568" customFormat="false" ht="15" hidden="false" customHeight="false" outlineLevel="0" collapsed="false">
      <c r="A1568" s="1" t="s">
        <v>2025</v>
      </c>
      <c r="B1568" s="1" t="s">
        <v>1314</v>
      </c>
      <c r="C1568" s="1" t="s">
        <v>1987</v>
      </c>
      <c r="D1568" s="1" t="s">
        <v>1788</v>
      </c>
      <c r="E1568" s="1" t="s">
        <v>2023</v>
      </c>
      <c r="F1568" s="1" t="s">
        <v>2026</v>
      </c>
      <c r="G1568" s="8" t="s">
        <v>1607</v>
      </c>
      <c r="I1568" s="1" t="n">
        <v>4</v>
      </c>
    </row>
    <row r="1569" customFormat="false" ht="15" hidden="false" customHeight="false" outlineLevel="0" collapsed="false">
      <c r="A1569" s="1" t="s">
        <v>2025</v>
      </c>
      <c r="B1569" s="1" t="s">
        <v>1314</v>
      </c>
      <c r="C1569" s="1" t="s">
        <v>1988</v>
      </c>
      <c r="D1569" s="1" t="s">
        <v>1788</v>
      </c>
      <c r="E1569" s="1" t="s">
        <v>2023</v>
      </c>
      <c r="F1569" s="1" t="s">
        <v>2026</v>
      </c>
      <c r="G1569" s="8" t="s">
        <v>1607</v>
      </c>
      <c r="I1569" s="1" t="n">
        <v>4</v>
      </c>
    </row>
    <row r="1570" customFormat="false" ht="15" hidden="false" customHeight="false" outlineLevel="0" collapsed="false">
      <c r="A1570" s="1" t="s">
        <v>2025</v>
      </c>
      <c r="B1570" s="1" t="s">
        <v>1314</v>
      </c>
      <c r="C1570" s="1" t="s">
        <v>1989</v>
      </c>
      <c r="D1570" s="1" t="s">
        <v>1788</v>
      </c>
      <c r="E1570" s="1" t="s">
        <v>2023</v>
      </c>
      <c r="F1570" s="1" t="s">
        <v>2026</v>
      </c>
      <c r="G1570" s="8" t="s">
        <v>1607</v>
      </c>
      <c r="I1570" s="1" t="n">
        <v>4</v>
      </c>
    </row>
    <row r="1571" customFormat="false" ht="15" hidden="false" customHeight="false" outlineLevel="0" collapsed="false">
      <c r="A1571" s="1" t="s">
        <v>2025</v>
      </c>
      <c r="B1571" s="1" t="s">
        <v>1314</v>
      </c>
      <c r="C1571" s="1" t="s">
        <v>1990</v>
      </c>
      <c r="D1571" s="1" t="s">
        <v>1788</v>
      </c>
      <c r="E1571" s="1" t="s">
        <v>2023</v>
      </c>
      <c r="F1571" s="1" t="s">
        <v>2026</v>
      </c>
      <c r="G1571" s="8" t="s">
        <v>1607</v>
      </c>
      <c r="I1571" s="1" t="n">
        <v>5</v>
      </c>
    </row>
    <row r="1572" customFormat="false" ht="15" hidden="false" customHeight="false" outlineLevel="0" collapsed="false">
      <c r="A1572" s="1" t="s">
        <v>2025</v>
      </c>
      <c r="B1572" s="1" t="s">
        <v>1314</v>
      </c>
      <c r="C1572" s="1" t="s">
        <v>1991</v>
      </c>
      <c r="D1572" s="1" t="s">
        <v>1788</v>
      </c>
      <c r="E1572" s="1" t="s">
        <v>2023</v>
      </c>
      <c r="F1572" s="1" t="s">
        <v>2026</v>
      </c>
      <c r="G1572" s="8" t="s">
        <v>1607</v>
      </c>
      <c r="I1572" s="1" t="n">
        <v>7</v>
      </c>
    </row>
    <row r="1573" customFormat="false" ht="15" hidden="false" customHeight="false" outlineLevel="0" collapsed="false">
      <c r="A1573" s="1" t="s">
        <v>2025</v>
      </c>
      <c r="B1573" s="1" t="s">
        <v>1314</v>
      </c>
      <c r="C1573" s="1" t="s">
        <v>1992</v>
      </c>
      <c r="D1573" s="1" t="s">
        <v>1788</v>
      </c>
      <c r="E1573" s="1" t="s">
        <v>2023</v>
      </c>
      <c r="F1573" s="1" t="s">
        <v>2026</v>
      </c>
      <c r="G1573" s="8" t="s">
        <v>1607</v>
      </c>
      <c r="I1573" s="1" t="n">
        <v>4</v>
      </c>
    </row>
    <row r="1574" customFormat="false" ht="15" hidden="false" customHeight="false" outlineLevel="0" collapsed="false">
      <c r="A1574" s="1" t="s">
        <v>2025</v>
      </c>
      <c r="B1574" s="1" t="s">
        <v>1314</v>
      </c>
      <c r="C1574" s="1" t="s">
        <v>1993</v>
      </c>
      <c r="D1574" s="1" t="s">
        <v>1788</v>
      </c>
      <c r="E1574" s="1" t="s">
        <v>2023</v>
      </c>
      <c r="F1574" s="1" t="s">
        <v>2026</v>
      </c>
      <c r="G1574" s="8" t="s">
        <v>1607</v>
      </c>
      <c r="I1574" s="1" t="n">
        <v>4</v>
      </c>
    </row>
    <row r="1575" customFormat="false" ht="15" hidden="false" customHeight="false" outlineLevel="0" collapsed="false">
      <c r="A1575" s="1" t="s">
        <v>2025</v>
      </c>
      <c r="B1575" s="1" t="s">
        <v>1314</v>
      </c>
      <c r="C1575" s="1" t="s">
        <v>1994</v>
      </c>
      <c r="D1575" s="1" t="s">
        <v>1788</v>
      </c>
      <c r="E1575" s="1" t="s">
        <v>2023</v>
      </c>
      <c r="F1575" s="1" t="s">
        <v>2026</v>
      </c>
      <c r="G1575" s="8" t="s">
        <v>1607</v>
      </c>
      <c r="I1575" s="1" t="n">
        <v>5</v>
      </c>
    </row>
    <row r="1576" customFormat="false" ht="15" hidden="false" customHeight="false" outlineLevel="0" collapsed="false">
      <c r="A1576" s="1" t="s">
        <v>2025</v>
      </c>
      <c r="B1576" s="1" t="s">
        <v>1314</v>
      </c>
      <c r="C1576" s="1" t="s">
        <v>1995</v>
      </c>
      <c r="D1576" s="1" t="s">
        <v>1788</v>
      </c>
      <c r="E1576" s="1" t="s">
        <v>2023</v>
      </c>
      <c r="F1576" s="1" t="s">
        <v>2026</v>
      </c>
      <c r="G1576" s="8" t="s">
        <v>1607</v>
      </c>
      <c r="I1576" s="1" t="n">
        <v>3</v>
      </c>
    </row>
    <row r="1577" customFormat="false" ht="15" hidden="false" customHeight="false" outlineLevel="0" collapsed="false">
      <c r="A1577" s="1" t="s">
        <v>2025</v>
      </c>
      <c r="B1577" s="1" t="s">
        <v>1316</v>
      </c>
      <c r="C1577" s="1" t="s">
        <v>1317</v>
      </c>
      <c r="D1577" s="1" t="s">
        <v>1788</v>
      </c>
      <c r="E1577" s="1" t="s">
        <v>2023</v>
      </c>
      <c r="F1577" s="1" t="s">
        <v>2026</v>
      </c>
      <c r="G1577" s="8" t="s">
        <v>1607</v>
      </c>
      <c r="I1577" s="1" t="n">
        <v>584</v>
      </c>
    </row>
    <row r="1578" customFormat="false" ht="15" hidden="false" customHeight="false" outlineLevel="0" collapsed="false">
      <c r="A1578" s="1" t="s">
        <v>2025</v>
      </c>
      <c r="B1578" s="1" t="s">
        <v>1318</v>
      </c>
      <c r="C1578" s="1" t="s">
        <v>1319</v>
      </c>
      <c r="D1578" s="1" t="s">
        <v>1788</v>
      </c>
      <c r="E1578" s="1" t="s">
        <v>2023</v>
      </c>
      <c r="F1578" s="1" t="s">
        <v>2026</v>
      </c>
      <c r="G1578" s="8" t="s">
        <v>1607</v>
      </c>
      <c r="I1578" s="1" t="n">
        <v>585</v>
      </c>
    </row>
    <row r="1579" customFormat="false" ht="15" hidden="false" customHeight="false" outlineLevel="0" collapsed="false">
      <c r="A1579" s="1" t="s">
        <v>2025</v>
      </c>
      <c r="B1579" s="1" t="s">
        <v>1320</v>
      </c>
      <c r="C1579" s="1" t="s">
        <v>1321</v>
      </c>
      <c r="D1579" s="1" t="s">
        <v>1788</v>
      </c>
      <c r="E1579" s="1" t="s">
        <v>2023</v>
      </c>
      <c r="F1579" s="1" t="s">
        <v>2026</v>
      </c>
      <c r="G1579" s="8" t="s">
        <v>1607</v>
      </c>
      <c r="I1579" s="1" t="n">
        <v>582</v>
      </c>
    </row>
    <row r="1580" customFormat="false" ht="15" hidden="false" customHeight="false" outlineLevel="0" collapsed="false">
      <c r="A1580" s="1" t="s">
        <v>2025</v>
      </c>
      <c r="B1580" s="1" t="s">
        <v>1322</v>
      </c>
      <c r="C1580" s="1" t="s">
        <v>1323</v>
      </c>
      <c r="D1580" s="1" t="s">
        <v>1788</v>
      </c>
      <c r="E1580" s="1" t="s">
        <v>2023</v>
      </c>
      <c r="F1580" s="1" t="s">
        <v>2026</v>
      </c>
      <c r="G1580" s="8" t="s">
        <v>1607</v>
      </c>
      <c r="I1580" s="1" t="n">
        <v>41</v>
      </c>
    </row>
    <row r="1581" customFormat="false" ht="15" hidden="false" customHeight="false" outlineLevel="0" collapsed="false">
      <c r="A1581" s="1" t="s">
        <v>2025</v>
      </c>
      <c r="B1581" s="1" t="s">
        <v>1324</v>
      </c>
      <c r="C1581" s="1" t="s">
        <v>1325</v>
      </c>
      <c r="D1581" s="1" t="s">
        <v>1788</v>
      </c>
      <c r="E1581" s="1" t="s">
        <v>2023</v>
      </c>
      <c r="F1581" s="1" t="s">
        <v>2026</v>
      </c>
      <c r="G1581" s="8" t="s">
        <v>1632</v>
      </c>
      <c r="H1581" s="1" t="s">
        <v>1326</v>
      </c>
      <c r="I1581" s="1" t="n">
        <v>30</v>
      </c>
    </row>
    <row r="1582" customFormat="false" ht="15" hidden="false" customHeight="false" outlineLevel="0" collapsed="false">
      <c r="A1582" s="1" t="s">
        <v>2025</v>
      </c>
      <c r="B1582" s="1" t="s">
        <v>713</v>
      </c>
      <c r="C1582" s="1" t="s">
        <v>714</v>
      </c>
      <c r="D1582" s="1" t="s">
        <v>1788</v>
      </c>
      <c r="E1582" s="1" t="s">
        <v>2023</v>
      </c>
      <c r="F1582" s="1" t="s">
        <v>2026</v>
      </c>
      <c r="G1582" s="8" t="s">
        <v>1607</v>
      </c>
      <c r="I1582" s="1" t="n">
        <v>8</v>
      </c>
    </row>
    <row r="1583" customFormat="false" ht="15" hidden="false" customHeight="false" outlineLevel="0" collapsed="false">
      <c r="A1583" s="1" t="s">
        <v>2025</v>
      </c>
      <c r="B1583" s="1" t="s">
        <v>716</v>
      </c>
      <c r="C1583" s="1" t="s">
        <v>717</v>
      </c>
      <c r="D1583" s="1" t="s">
        <v>1788</v>
      </c>
      <c r="E1583" s="1" t="s">
        <v>2023</v>
      </c>
      <c r="F1583" s="1" t="s">
        <v>2026</v>
      </c>
      <c r="G1583" s="8" t="s">
        <v>1607</v>
      </c>
      <c r="I1583" s="1" t="n">
        <v>705</v>
      </c>
    </row>
    <row r="1584" customFormat="false" ht="15" hidden="false" customHeight="false" outlineLevel="0" collapsed="false">
      <c r="A1584" s="1" t="s">
        <v>2025</v>
      </c>
      <c r="B1584" s="1" t="s">
        <v>718</v>
      </c>
      <c r="C1584" s="1" t="s">
        <v>719</v>
      </c>
      <c r="D1584" s="1" t="s">
        <v>1788</v>
      </c>
      <c r="E1584" s="1" t="s">
        <v>2023</v>
      </c>
      <c r="F1584" s="1" t="s">
        <v>2026</v>
      </c>
      <c r="G1584" s="8" t="s">
        <v>1607</v>
      </c>
      <c r="I1584" s="1" t="n">
        <v>661</v>
      </c>
    </row>
    <row r="1585" customFormat="false" ht="15" hidden="false" customHeight="false" outlineLevel="0" collapsed="false">
      <c r="A1585" s="1" t="s">
        <v>2025</v>
      </c>
      <c r="B1585" s="1" t="s">
        <v>720</v>
      </c>
      <c r="C1585" s="1" t="s">
        <v>721</v>
      </c>
      <c r="D1585" s="1" t="s">
        <v>1788</v>
      </c>
      <c r="E1585" s="1" t="s">
        <v>2023</v>
      </c>
      <c r="F1585" s="1" t="s">
        <v>2026</v>
      </c>
      <c r="G1585" s="8" t="s">
        <v>1607</v>
      </c>
      <c r="I1585" s="1" t="n">
        <v>709</v>
      </c>
    </row>
    <row r="1586" customFormat="false" ht="15" hidden="false" customHeight="false" outlineLevel="0" collapsed="false">
      <c r="A1586" s="1" t="s">
        <v>2025</v>
      </c>
      <c r="B1586" s="1" t="s">
        <v>722</v>
      </c>
      <c r="C1586" s="1" t="s">
        <v>723</v>
      </c>
      <c r="D1586" s="1" t="s">
        <v>1788</v>
      </c>
      <c r="E1586" s="1" t="s">
        <v>2023</v>
      </c>
      <c r="F1586" s="1" t="s">
        <v>2026</v>
      </c>
      <c r="G1586" s="8" t="s">
        <v>1607</v>
      </c>
      <c r="I1586" s="1" t="n">
        <v>925</v>
      </c>
    </row>
    <row r="1587" customFormat="false" ht="15" hidden="false" customHeight="false" outlineLevel="0" collapsed="false">
      <c r="A1587" s="1" t="s">
        <v>2025</v>
      </c>
      <c r="B1587" s="1" t="s">
        <v>724</v>
      </c>
      <c r="C1587" s="1" t="s">
        <v>725</v>
      </c>
      <c r="D1587" s="1" t="s">
        <v>1788</v>
      </c>
      <c r="E1587" s="1" t="s">
        <v>2023</v>
      </c>
      <c r="F1587" s="1" t="s">
        <v>2026</v>
      </c>
      <c r="G1587" s="8" t="s">
        <v>1607</v>
      </c>
      <c r="I1587" s="1" t="n">
        <v>673</v>
      </c>
    </row>
    <row r="1588" customFormat="false" ht="15" hidden="false" customHeight="false" outlineLevel="0" collapsed="false">
      <c r="A1588" s="1" t="s">
        <v>2025</v>
      </c>
      <c r="B1588" s="1" t="s">
        <v>726</v>
      </c>
      <c r="C1588" s="1" t="s">
        <v>727</v>
      </c>
      <c r="D1588" s="1" t="s">
        <v>1788</v>
      </c>
      <c r="E1588" s="1" t="s">
        <v>2023</v>
      </c>
      <c r="F1588" s="1" t="s">
        <v>2026</v>
      </c>
      <c r="G1588" s="8" t="s">
        <v>1607</v>
      </c>
      <c r="I1588" s="1" t="n">
        <v>695</v>
      </c>
    </row>
    <row r="1589" customFormat="false" ht="15" hidden="false" customHeight="false" outlineLevel="0" collapsed="false">
      <c r="A1589" s="1" t="s">
        <v>2025</v>
      </c>
      <c r="B1589" s="1" t="s">
        <v>821</v>
      </c>
      <c r="C1589" s="1" t="s">
        <v>822</v>
      </c>
      <c r="D1589" s="1" t="s">
        <v>1788</v>
      </c>
      <c r="E1589" s="1" t="s">
        <v>2023</v>
      </c>
      <c r="F1589" s="1" t="s">
        <v>2026</v>
      </c>
      <c r="G1589" s="8" t="s">
        <v>1607</v>
      </c>
      <c r="I1589" s="1" t="n">
        <v>203</v>
      </c>
    </row>
    <row r="1590" customFormat="false" ht="15" hidden="false" customHeight="false" outlineLevel="0" collapsed="false">
      <c r="A1590" s="1" t="s">
        <v>2025</v>
      </c>
      <c r="B1590" s="1" t="s">
        <v>824</v>
      </c>
      <c r="C1590" s="1" t="s">
        <v>825</v>
      </c>
      <c r="D1590" s="1" t="s">
        <v>1788</v>
      </c>
      <c r="E1590" s="1" t="s">
        <v>2023</v>
      </c>
      <c r="F1590" s="1" t="s">
        <v>2026</v>
      </c>
      <c r="G1590" s="8" t="s">
        <v>1607</v>
      </c>
      <c r="I1590" s="1" t="n">
        <v>629</v>
      </c>
    </row>
    <row r="1591" customFormat="false" ht="15" hidden="false" customHeight="false" outlineLevel="0" collapsed="false">
      <c r="A1591" s="1" t="s">
        <v>2025</v>
      </c>
      <c r="B1591" s="1" t="s">
        <v>826</v>
      </c>
      <c r="C1591" s="1" t="s">
        <v>827</v>
      </c>
      <c r="D1591" s="1" t="s">
        <v>1788</v>
      </c>
      <c r="E1591" s="1" t="s">
        <v>2023</v>
      </c>
      <c r="F1591" s="1" t="s">
        <v>2026</v>
      </c>
      <c r="G1591" s="8" t="s">
        <v>1607</v>
      </c>
      <c r="I1591" s="1" t="n">
        <v>597</v>
      </c>
    </row>
    <row r="1592" customFormat="false" ht="15" hidden="false" customHeight="false" outlineLevel="0" collapsed="false">
      <c r="A1592" s="1" t="s">
        <v>2025</v>
      </c>
      <c r="B1592" s="1" t="s">
        <v>828</v>
      </c>
      <c r="C1592" s="1" t="s">
        <v>829</v>
      </c>
      <c r="D1592" s="1" t="s">
        <v>1788</v>
      </c>
      <c r="E1592" s="1" t="s">
        <v>2023</v>
      </c>
      <c r="F1592" s="1" t="s">
        <v>2026</v>
      </c>
      <c r="G1592" s="8" t="s">
        <v>1632</v>
      </c>
      <c r="H1592" s="1" t="s">
        <v>830</v>
      </c>
      <c r="I1592" s="1" t="n">
        <v>20</v>
      </c>
    </row>
    <row r="1593" customFormat="false" ht="15" hidden="false" customHeight="false" outlineLevel="0" collapsed="false">
      <c r="A1593" s="1" t="s">
        <v>2025</v>
      </c>
      <c r="B1593" s="1" t="s">
        <v>961</v>
      </c>
      <c r="C1593" s="1" t="s">
        <v>962</v>
      </c>
      <c r="D1593" s="1" t="s">
        <v>1788</v>
      </c>
      <c r="E1593" s="1" t="s">
        <v>2023</v>
      </c>
      <c r="F1593" s="1" t="s">
        <v>2026</v>
      </c>
      <c r="G1593" s="8" t="s">
        <v>1607</v>
      </c>
      <c r="I1593" s="1" t="n">
        <v>593</v>
      </c>
    </row>
    <row r="1594" customFormat="false" ht="15" hidden="false" customHeight="false" outlineLevel="0" collapsed="false">
      <c r="A1594" s="1" t="s">
        <v>2025</v>
      </c>
      <c r="B1594" s="1" t="s">
        <v>963</v>
      </c>
      <c r="C1594" s="1" t="s">
        <v>964</v>
      </c>
      <c r="D1594" s="1" t="s">
        <v>1788</v>
      </c>
      <c r="E1594" s="1" t="s">
        <v>2023</v>
      </c>
      <c r="F1594" s="1" t="s">
        <v>2026</v>
      </c>
      <c r="G1594" s="8" t="s">
        <v>1607</v>
      </c>
      <c r="I1594" s="1" t="n">
        <v>637</v>
      </c>
    </row>
    <row r="1595" customFormat="false" ht="15" hidden="false" customHeight="false" outlineLevel="0" collapsed="false">
      <c r="A1595" s="1" t="s">
        <v>2025</v>
      </c>
      <c r="B1595" s="1" t="s">
        <v>965</v>
      </c>
      <c r="C1595" s="1" t="s">
        <v>966</v>
      </c>
      <c r="D1595" s="1" t="s">
        <v>1788</v>
      </c>
      <c r="E1595" s="1" t="s">
        <v>2023</v>
      </c>
      <c r="F1595" s="1" t="s">
        <v>2026</v>
      </c>
      <c r="G1595" s="8" t="s">
        <v>1607</v>
      </c>
      <c r="I1595" s="1" t="n">
        <v>588</v>
      </c>
    </row>
    <row r="1596" customFormat="false" ht="15" hidden="false" customHeight="false" outlineLevel="0" collapsed="false">
      <c r="A1596" s="1" t="s">
        <v>2025</v>
      </c>
      <c r="B1596" s="1" t="s">
        <v>967</v>
      </c>
      <c r="C1596" s="1" t="s">
        <v>968</v>
      </c>
      <c r="D1596" s="1" t="s">
        <v>1788</v>
      </c>
      <c r="E1596" s="1" t="s">
        <v>2023</v>
      </c>
      <c r="F1596" s="1" t="s">
        <v>2026</v>
      </c>
      <c r="G1596" s="8" t="s">
        <v>1607</v>
      </c>
      <c r="I1596" s="1" t="n">
        <v>11</v>
      </c>
    </row>
    <row r="1597" customFormat="false" ht="15" hidden="false" customHeight="false" outlineLevel="0" collapsed="false">
      <c r="A1597" s="1" t="s">
        <v>2025</v>
      </c>
      <c r="B1597" s="1" t="s">
        <v>992</v>
      </c>
      <c r="C1597" s="1" t="s">
        <v>993</v>
      </c>
      <c r="D1597" s="1" t="s">
        <v>1788</v>
      </c>
      <c r="E1597" s="1" t="s">
        <v>2023</v>
      </c>
      <c r="F1597" s="1" t="s">
        <v>2026</v>
      </c>
      <c r="G1597" s="8" t="s">
        <v>1607</v>
      </c>
      <c r="I1597" s="1" t="n">
        <v>600</v>
      </c>
    </row>
    <row r="1598" customFormat="false" ht="15" hidden="false" customHeight="false" outlineLevel="0" collapsed="false">
      <c r="A1598" s="1" t="s">
        <v>2025</v>
      </c>
      <c r="B1598" s="1" t="s">
        <v>995</v>
      </c>
      <c r="C1598" s="1" t="s">
        <v>996</v>
      </c>
      <c r="D1598" s="1" t="s">
        <v>1788</v>
      </c>
      <c r="E1598" s="1" t="s">
        <v>2023</v>
      </c>
      <c r="F1598" s="1" t="s">
        <v>2026</v>
      </c>
      <c r="G1598" s="8" t="s">
        <v>1607</v>
      </c>
      <c r="I1598" s="1" t="n">
        <v>31</v>
      </c>
    </row>
    <row r="1599" customFormat="false" ht="15" hidden="false" customHeight="false" outlineLevel="0" collapsed="false">
      <c r="A1599" s="1" t="s">
        <v>2025</v>
      </c>
      <c r="B1599" s="1" t="s">
        <v>997</v>
      </c>
      <c r="C1599" s="1" t="s">
        <v>998</v>
      </c>
      <c r="D1599" s="1" t="s">
        <v>1788</v>
      </c>
      <c r="E1599" s="1" t="s">
        <v>2023</v>
      </c>
      <c r="F1599" s="1" t="s">
        <v>2026</v>
      </c>
      <c r="G1599" s="8" t="s">
        <v>1607</v>
      </c>
      <c r="I1599" s="1" t="n">
        <v>18</v>
      </c>
    </row>
    <row r="1600" customFormat="false" ht="15" hidden="false" customHeight="false" outlineLevel="0" collapsed="false">
      <c r="A1600" s="1" t="s">
        <v>2025</v>
      </c>
      <c r="B1600" s="1" t="s">
        <v>1386</v>
      </c>
      <c r="C1600" s="1" t="s">
        <v>1387</v>
      </c>
      <c r="D1600" s="1" t="s">
        <v>1788</v>
      </c>
      <c r="E1600" s="1" t="s">
        <v>2023</v>
      </c>
      <c r="F1600" s="1" t="s">
        <v>2026</v>
      </c>
      <c r="G1600" s="8" t="s">
        <v>1607</v>
      </c>
      <c r="I1600" s="1" t="n">
        <v>17</v>
      </c>
    </row>
    <row r="1601" customFormat="false" ht="15" hidden="false" customHeight="false" outlineLevel="0" collapsed="false">
      <c r="A1601" s="1" t="s">
        <v>2025</v>
      </c>
      <c r="B1601" s="1" t="s">
        <v>1388</v>
      </c>
      <c r="C1601" s="1" t="s">
        <v>1389</v>
      </c>
      <c r="D1601" s="1" t="s">
        <v>1788</v>
      </c>
      <c r="E1601" s="1" t="s">
        <v>2023</v>
      </c>
      <c r="F1601" s="1" t="s">
        <v>2026</v>
      </c>
      <c r="G1601" s="8" t="s">
        <v>1607</v>
      </c>
      <c r="I1601" s="1" t="n">
        <v>12</v>
      </c>
    </row>
    <row r="1602" customFormat="false" ht="15" hidden="false" customHeight="false" outlineLevel="0" collapsed="false">
      <c r="A1602" s="1" t="s">
        <v>2025</v>
      </c>
      <c r="B1602" s="1" t="s">
        <v>1390</v>
      </c>
      <c r="C1602" s="1" t="s">
        <v>1391</v>
      </c>
      <c r="D1602" s="1" t="s">
        <v>1788</v>
      </c>
      <c r="E1602" s="1" t="s">
        <v>2023</v>
      </c>
      <c r="F1602" s="1" t="s">
        <v>2026</v>
      </c>
      <c r="G1602" s="8" t="s">
        <v>1607</v>
      </c>
      <c r="I1602" s="1" t="n">
        <v>16</v>
      </c>
    </row>
    <row r="1603" customFormat="false" ht="15" hidden="false" customHeight="false" outlineLevel="0" collapsed="false">
      <c r="A1603" s="1" t="s">
        <v>2025</v>
      </c>
      <c r="B1603" s="1" t="s">
        <v>1392</v>
      </c>
      <c r="C1603" s="1" t="s">
        <v>1393</v>
      </c>
      <c r="D1603" s="1" t="s">
        <v>1788</v>
      </c>
      <c r="E1603" s="1" t="s">
        <v>2023</v>
      </c>
      <c r="F1603" s="1" t="s">
        <v>2026</v>
      </c>
      <c r="G1603" s="8" t="s">
        <v>1607</v>
      </c>
      <c r="I1603" s="1" t="n">
        <v>6</v>
      </c>
    </row>
    <row r="1604" customFormat="false" ht="15" hidden="false" customHeight="false" outlineLevel="0" collapsed="false">
      <c r="A1604" s="1" t="s">
        <v>2025</v>
      </c>
      <c r="B1604" s="1" t="s">
        <v>1394</v>
      </c>
      <c r="C1604" s="1" t="s">
        <v>1395</v>
      </c>
      <c r="D1604" s="1" t="s">
        <v>1788</v>
      </c>
      <c r="E1604" s="1" t="s">
        <v>2023</v>
      </c>
      <c r="F1604" s="1" t="s">
        <v>2026</v>
      </c>
      <c r="G1604" s="8" t="s">
        <v>1607</v>
      </c>
      <c r="I1604" s="1" t="n">
        <v>10</v>
      </c>
    </row>
    <row r="1605" customFormat="false" ht="15" hidden="false" customHeight="false" outlineLevel="0" collapsed="false">
      <c r="A1605" s="1" t="s">
        <v>2025</v>
      </c>
      <c r="B1605" s="1" t="s">
        <v>1396</v>
      </c>
      <c r="C1605" s="1" t="s">
        <v>1397</v>
      </c>
      <c r="D1605" s="1" t="s">
        <v>1788</v>
      </c>
      <c r="E1605" s="1" t="s">
        <v>2023</v>
      </c>
      <c r="F1605" s="1" t="s">
        <v>2026</v>
      </c>
      <c r="G1605" s="8" t="s">
        <v>1632</v>
      </c>
      <c r="H1605" s="1" t="s">
        <v>1398</v>
      </c>
      <c r="I1605" s="1" t="n">
        <v>22</v>
      </c>
    </row>
    <row r="1606" customFormat="false" ht="15" hidden="false" customHeight="false" outlineLevel="0" collapsed="false">
      <c r="A1606" s="1" t="s">
        <v>2025</v>
      </c>
      <c r="B1606" s="1" t="s">
        <v>1399</v>
      </c>
      <c r="C1606" s="1" t="s">
        <v>1400</v>
      </c>
      <c r="D1606" s="1" t="s">
        <v>1788</v>
      </c>
      <c r="E1606" s="1" t="s">
        <v>2023</v>
      </c>
      <c r="F1606" s="1" t="s">
        <v>2026</v>
      </c>
      <c r="G1606" s="8" t="s">
        <v>1607</v>
      </c>
      <c r="I1606" s="1" t="n">
        <v>5</v>
      </c>
    </row>
    <row r="1607" customFormat="false" ht="15" hidden="false" customHeight="false" outlineLevel="0" collapsed="false">
      <c r="A1607" s="1" t="s">
        <v>2025</v>
      </c>
      <c r="B1607" s="1" t="s">
        <v>1401</v>
      </c>
      <c r="C1607" s="1" t="s">
        <v>1402</v>
      </c>
      <c r="D1607" s="1" t="s">
        <v>1788</v>
      </c>
      <c r="E1607" s="1" t="s">
        <v>2023</v>
      </c>
      <c r="F1607" s="1" t="s">
        <v>2026</v>
      </c>
      <c r="G1607" s="8" t="s">
        <v>1607</v>
      </c>
      <c r="I1607" s="1" t="n">
        <v>11</v>
      </c>
    </row>
    <row r="1608" customFormat="false" ht="15" hidden="false" customHeight="false" outlineLevel="0" collapsed="false">
      <c r="A1608" s="1" t="s">
        <v>2025</v>
      </c>
      <c r="B1608" s="1" t="s">
        <v>1403</v>
      </c>
      <c r="C1608" s="1" t="s">
        <v>1404</v>
      </c>
      <c r="D1608" s="1" t="s">
        <v>1788</v>
      </c>
      <c r="E1608" s="1" t="s">
        <v>2023</v>
      </c>
      <c r="F1608" s="1" t="s">
        <v>2026</v>
      </c>
      <c r="G1608" s="8" t="s">
        <v>1607</v>
      </c>
      <c r="I1608" s="1" t="n">
        <v>5</v>
      </c>
    </row>
    <row r="1609" customFormat="false" ht="15" hidden="false" customHeight="false" outlineLevel="0" collapsed="false">
      <c r="A1609" s="1" t="s">
        <v>2025</v>
      </c>
      <c r="B1609" s="1" t="s">
        <v>1405</v>
      </c>
      <c r="C1609" s="1" t="s">
        <v>1406</v>
      </c>
      <c r="D1609" s="1" t="s">
        <v>1788</v>
      </c>
      <c r="E1609" s="1" t="s">
        <v>2023</v>
      </c>
      <c r="F1609" s="1" t="s">
        <v>2026</v>
      </c>
      <c r="G1609" s="8" t="s">
        <v>1607</v>
      </c>
      <c r="I1609" s="1" t="n">
        <v>6</v>
      </c>
    </row>
    <row r="1610" customFormat="false" ht="15" hidden="false" customHeight="false" outlineLevel="0" collapsed="false">
      <c r="A1610" s="1" t="s">
        <v>2025</v>
      </c>
      <c r="B1610" s="1" t="s">
        <v>1407</v>
      </c>
      <c r="C1610" s="1" t="s">
        <v>1408</v>
      </c>
      <c r="D1610" s="1" t="s">
        <v>1788</v>
      </c>
      <c r="E1610" s="1" t="s">
        <v>2023</v>
      </c>
      <c r="F1610" s="1" t="s">
        <v>2026</v>
      </c>
      <c r="G1610" s="8" t="s">
        <v>1607</v>
      </c>
      <c r="I1610" s="1" t="n">
        <v>6</v>
      </c>
    </row>
    <row r="1611" customFormat="false" ht="15" hidden="false" customHeight="false" outlineLevel="0" collapsed="false">
      <c r="A1611" s="1" t="s">
        <v>2025</v>
      </c>
      <c r="B1611" s="1" t="s">
        <v>1409</v>
      </c>
      <c r="C1611" s="1" t="s">
        <v>1410</v>
      </c>
      <c r="D1611" s="1" t="s">
        <v>1788</v>
      </c>
      <c r="E1611" s="1" t="s">
        <v>2023</v>
      </c>
      <c r="F1611" s="1" t="s">
        <v>2026</v>
      </c>
      <c r="G1611" s="8" t="s">
        <v>1607</v>
      </c>
      <c r="I1611" s="1" t="n">
        <v>11</v>
      </c>
    </row>
    <row r="1612" customFormat="false" ht="15" hidden="false" customHeight="false" outlineLevel="0" collapsed="false">
      <c r="A1612" s="1" t="s">
        <v>2025</v>
      </c>
      <c r="B1612" s="1" t="s">
        <v>1296</v>
      </c>
      <c r="C1612" s="1" t="s">
        <v>1297</v>
      </c>
      <c r="D1612" s="1" t="s">
        <v>1788</v>
      </c>
      <c r="E1612" s="1" t="s">
        <v>2023</v>
      </c>
      <c r="F1612" s="1" t="s">
        <v>2026</v>
      </c>
      <c r="G1612" s="8" t="s">
        <v>1607</v>
      </c>
      <c r="I1612" s="1" t="n">
        <v>4</v>
      </c>
    </row>
    <row r="1613" customFormat="false" ht="15" hidden="false" customHeight="false" outlineLevel="0" collapsed="false">
      <c r="A1613" s="1" t="s">
        <v>2025</v>
      </c>
      <c r="B1613" s="1" t="s">
        <v>1299</v>
      </c>
      <c r="C1613" s="1" t="s">
        <v>1300</v>
      </c>
      <c r="D1613" s="1" t="s">
        <v>1788</v>
      </c>
      <c r="E1613" s="1" t="s">
        <v>2023</v>
      </c>
      <c r="F1613" s="1" t="s">
        <v>2026</v>
      </c>
      <c r="G1613" s="8" t="s">
        <v>1607</v>
      </c>
      <c r="I1613" s="1" t="n">
        <v>1</v>
      </c>
    </row>
    <row r="1614" customFormat="false" ht="15" hidden="false" customHeight="false" outlineLevel="0" collapsed="false">
      <c r="A1614" s="1" t="s">
        <v>2025</v>
      </c>
      <c r="B1614" s="1" t="s">
        <v>1301</v>
      </c>
      <c r="C1614" s="1" t="s">
        <v>1302</v>
      </c>
      <c r="D1614" s="1" t="s">
        <v>1788</v>
      </c>
      <c r="E1614" s="1" t="s">
        <v>2023</v>
      </c>
      <c r="F1614" s="1" t="s">
        <v>2026</v>
      </c>
      <c r="G1614" s="8" t="s">
        <v>1607</v>
      </c>
      <c r="I1614" s="1" t="n">
        <v>1</v>
      </c>
    </row>
    <row r="1615" customFormat="false" ht="15" hidden="false" customHeight="false" outlineLevel="0" collapsed="false">
      <c r="A1615" s="1" t="s">
        <v>2025</v>
      </c>
      <c r="B1615" s="1" t="s">
        <v>1303</v>
      </c>
      <c r="C1615" s="1" t="s">
        <v>1304</v>
      </c>
      <c r="D1615" s="1" t="s">
        <v>1788</v>
      </c>
      <c r="E1615" s="1" t="s">
        <v>2023</v>
      </c>
      <c r="F1615" s="1" t="s">
        <v>2026</v>
      </c>
      <c r="G1615" s="8" t="s">
        <v>1607</v>
      </c>
      <c r="I1615" s="1" t="n">
        <v>1</v>
      </c>
    </row>
    <row r="1616" customFormat="false" ht="15" hidden="false" customHeight="false" outlineLevel="0" collapsed="false">
      <c r="A1616" s="1" t="s">
        <v>2025</v>
      </c>
      <c r="B1616" s="1" t="s">
        <v>1305</v>
      </c>
      <c r="C1616" s="1" t="s">
        <v>1306</v>
      </c>
      <c r="D1616" s="1" t="s">
        <v>1788</v>
      </c>
      <c r="E1616" s="1" t="s">
        <v>2023</v>
      </c>
      <c r="F1616" s="1" t="s">
        <v>2026</v>
      </c>
      <c r="G1616" s="8" t="s">
        <v>1607</v>
      </c>
      <c r="I1616" s="1" t="n">
        <v>0</v>
      </c>
    </row>
    <row r="1617" customFormat="false" ht="15" hidden="false" customHeight="false" outlineLevel="0" collapsed="false">
      <c r="A1617" s="1" t="s">
        <v>2025</v>
      </c>
      <c r="B1617" s="1" t="s">
        <v>1307</v>
      </c>
      <c r="C1617" s="1" t="s">
        <v>1308</v>
      </c>
      <c r="D1617" s="1" t="s">
        <v>1788</v>
      </c>
      <c r="E1617" s="1" t="s">
        <v>2023</v>
      </c>
      <c r="F1617" s="1" t="s">
        <v>2026</v>
      </c>
      <c r="G1617" s="8" t="s">
        <v>1607</v>
      </c>
      <c r="I1617" s="1" t="n">
        <v>0</v>
      </c>
    </row>
    <row r="1618" customFormat="false" ht="15" hidden="false" customHeight="false" outlineLevel="0" collapsed="false">
      <c r="A1618" s="1" t="s">
        <v>2025</v>
      </c>
      <c r="B1618" s="1" t="s">
        <v>1354</v>
      </c>
      <c r="C1618" s="1" t="s">
        <v>1355</v>
      </c>
      <c r="D1618" s="1" t="s">
        <v>1788</v>
      </c>
      <c r="E1618" s="1" t="s">
        <v>2023</v>
      </c>
      <c r="F1618" s="1" t="s">
        <v>2026</v>
      </c>
      <c r="G1618" s="8" t="s">
        <v>1607</v>
      </c>
      <c r="I1618" s="1" t="n">
        <v>14</v>
      </c>
    </row>
    <row r="1619" customFormat="false" ht="15" hidden="false" customHeight="false" outlineLevel="0" collapsed="false">
      <c r="A1619" s="1" t="s">
        <v>2025</v>
      </c>
      <c r="B1619" s="1" t="s">
        <v>1357</v>
      </c>
      <c r="C1619" s="1" t="s">
        <v>1358</v>
      </c>
      <c r="D1619" s="1" t="s">
        <v>1788</v>
      </c>
      <c r="E1619" s="1" t="s">
        <v>2023</v>
      </c>
      <c r="F1619" s="1" t="s">
        <v>2026</v>
      </c>
      <c r="G1619" s="8" t="s">
        <v>1607</v>
      </c>
      <c r="I1619" s="1" t="n">
        <v>51</v>
      </c>
    </row>
    <row r="1620" customFormat="false" ht="15" hidden="false" customHeight="false" outlineLevel="0" collapsed="false">
      <c r="A1620" s="1" t="s">
        <v>2025</v>
      </c>
      <c r="B1620" s="1" t="s">
        <v>1359</v>
      </c>
      <c r="C1620" s="1" t="s">
        <v>1360</v>
      </c>
      <c r="D1620" s="1" t="s">
        <v>1788</v>
      </c>
      <c r="E1620" s="1" t="s">
        <v>2023</v>
      </c>
      <c r="F1620" s="1" t="s">
        <v>2026</v>
      </c>
      <c r="G1620" s="8" t="s">
        <v>1607</v>
      </c>
      <c r="I1620" s="1" t="n">
        <v>21</v>
      </c>
    </row>
    <row r="1621" customFormat="false" ht="15" hidden="false" customHeight="false" outlineLevel="0" collapsed="false">
      <c r="A1621" s="1" t="s">
        <v>2025</v>
      </c>
      <c r="B1621" s="1" t="s">
        <v>1361</v>
      </c>
      <c r="C1621" s="1" t="s">
        <v>1362</v>
      </c>
      <c r="D1621" s="1" t="s">
        <v>1788</v>
      </c>
      <c r="E1621" s="1" t="s">
        <v>2023</v>
      </c>
      <c r="F1621" s="1" t="s">
        <v>2026</v>
      </c>
      <c r="G1621" s="8" t="s">
        <v>1607</v>
      </c>
      <c r="I1621" s="1" t="n">
        <v>24</v>
      </c>
    </row>
    <row r="1622" customFormat="false" ht="15" hidden="false" customHeight="false" outlineLevel="0" collapsed="false">
      <c r="A1622" s="1" t="s">
        <v>2025</v>
      </c>
      <c r="B1622" s="1" t="s">
        <v>1363</v>
      </c>
      <c r="C1622" s="1" t="s">
        <v>1364</v>
      </c>
      <c r="D1622" s="1" t="s">
        <v>1788</v>
      </c>
      <c r="E1622" s="1" t="s">
        <v>2023</v>
      </c>
      <c r="F1622" s="1" t="s">
        <v>2026</v>
      </c>
      <c r="G1622" s="8" t="s">
        <v>1607</v>
      </c>
      <c r="I1622" s="1" t="n">
        <v>33</v>
      </c>
    </row>
    <row r="1623" customFormat="false" ht="15" hidden="false" customHeight="false" outlineLevel="0" collapsed="false">
      <c r="A1623" s="1" t="s">
        <v>2025</v>
      </c>
      <c r="B1623" s="1" t="s">
        <v>1365</v>
      </c>
      <c r="C1623" s="1" t="s">
        <v>1366</v>
      </c>
      <c r="D1623" s="1" t="s">
        <v>1788</v>
      </c>
      <c r="E1623" s="1" t="s">
        <v>2023</v>
      </c>
      <c r="F1623" s="1" t="s">
        <v>2026</v>
      </c>
      <c r="G1623" s="8" t="s">
        <v>1607</v>
      </c>
      <c r="I1623" s="1" t="n">
        <v>15</v>
      </c>
    </row>
    <row r="1624" customFormat="false" ht="15" hidden="false" customHeight="false" outlineLevel="0" collapsed="false">
      <c r="A1624" s="1" t="s">
        <v>2025</v>
      </c>
      <c r="B1624" s="1" t="s">
        <v>1367</v>
      </c>
      <c r="C1624" s="1" t="s">
        <v>1368</v>
      </c>
      <c r="D1624" s="1" t="s">
        <v>1788</v>
      </c>
      <c r="E1624" s="1" t="s">
        <v>2023</v>
      </c>
      <c r="F1624" s="1" t="s">
        <v>2026</v>
      </c>
      <c r="G1624" s="8" t="s">
        <v>1607</v>
      </c>
      <c r="I1624" s="1" t="n">
        <v>12</v>
      </c>
    </row>
    <row r="1625" customFormat="false" ht="15" hidden="false" customHeight="false" outlineLevel="0" collapsed="false">
      <c r="A1625" s="1" t="s">
        <v>2025</v>
      </c>
      <c r="B1625" s="1" t="s">
        <v>1369</v>
      </c>
      <c r="C1625" s="1" t="s">
        <v>1370</v>
      </c>
      <c r="D1625" s="1" t="s">
        <v>1788</v>
      </c>
      <c r="E1625" s="1" t="s">
        <v>2023</v>
      </c>
      <c r="F1625" s="1" t="s">
        <v>2026</v>
      </c>
      <c r="G1625" s="8" t="s">
        <v>1607</v>
      </c>
      <c r="I1625" s="1" t="n">
        <v>6</v>
      </c>
    </row>
    <row r="1626" customFormat="false" ht="15" hidden="false" customHeight="false" outlineLevel="0" collapsed="false">
      <c r="A1626" s="1" t="s">
        <v>2025</v>
      </c>
      <c r="B1626" s="1" t="s">
        <v>1371</v>
      </c>
      <c r="C1626" s="1" t="s">
        <v>1372</v>
      </c>
      <c r="D1626" s="1" t="s">
        <v>1788</v>
      </c>
      <c r="E1626" s="1" t="s">
        <v>2023</v>
      </c>
      <c r="F1626" s="1" t="s">
        <v>2026</v>
      </c>
      <c r="G1626" s="8" t="s">
        <v>1607</v>
      </c>
      <c r="I1626" s="1" t="n">
        <v>6</v>
      </c>
    </row>
    <row r="1627" customFormat="false" ht="15" hidden="false" customHeight="false" outlineLevel="0" collapsed="false">
      <c r="A1627" s="1" t="s">
        <v>2025</v>
      </c>
      <c r="B1627" s="1" t="s">
        <v>1371</v>
      </c>
      <c r="C1627" s="1" t="s">
        <v>1996</v>
      </c>
      <c r="D1627" s="1" t="s">
        <v>1788</v>
      </c>
      <c r="E1627" s="1" t="s">
        <v>2023</v>
      </c>
      <c r="F1627" s="1" t="s">
        <v>2026</v>
      </c>
      <c r="G1627" s="8" t="s">
        <v>1607</v>
      </c>
      <c r="I1627" s="1" t="n">
        <v>7</v>
      </c>
    </row>
    <row r="1628" customFormat="false" ht="15" hidden="false" customHeight="false" outlineLevel="0" collapsed="false">
      <c r="A1628" s="1" t="s">
        <v>2025</v>
      </c>
      <c r="B1628" s="1" t="s">
        <v>1371</v>
      </c>
      <c r="C1628" s="1" t="s">
        <v>1997</v>
      </c>
      <c r="D1628" s="1" t="s">
        <v>1788</v>
      </c>
      <c r="E1628" s="1" t="s">
        <v>2023</v>
      </c>
      <c r="F1628" s="1" t="s">
        <v>2026</v>
      </c>
      <c r="G1628" s="8" t="s">
        <v>1607</v>
      </c>
      <c r="I1628" s="1" t="n">
        <v>5</v>
      </c>
    </row>
    <row r="1629" customFormat="false" ht="15" hidden="false" customHeight="false" outlineLevel="0" collapsed="false">
      <c r="A1629" s="1" t="s">
        <v>2025</v>
      </c>
      <c r="B1629" s="1" t="s">
        <v>1371</v>
      </c>
      <c r="C1629" s="1" t="s">
        <v>1998</v>
      </c>
      <c r="D1629" s="1" t="s">
        <v>1788</v>
      </c>
      <c r="E1629" s="1" t="s">
        <v>2023</v>
      </c>
      <c r="F1629" s="1" t="s">
        <v>2026</v>
      </c>
      <c r="G1629" s="8" t="s">
        <v>1607</v>
      </c>
      <c r="I1629" s="1" t="n">
        <v>5</v>
      </c>
    </row>
    <row r="1630" customFormat="false" ht="15" hidden="false" customHeight="false" outlineLevel="0" collapsed="false">
      <c r="A1630" s="1" t="s">
        <v>2025</v>
      </c>
      <c r="B1630" s="1" t="s">
        <v>1371</v>
      </c>
      <c r="C1630" s="1" t="s">
        <v>1999</v>
      </c>
      <c r="D1630" s="1" t="s">
        <v>1788</v>
      </c>
      <c r="E1630" s="1" t="s">
        <v>2023</v>
      </c>
      <c r="F1630" s="1" t="s">
        <v>2026</v>
      </c>
      <c r="G1630" s="8" t="s">
        <v>1607</v>
      </c>
      <c r="I1630" s="1" t="n">
        <v>6</v>
      </c>
    </row>
    <row r="1631" customFormat="false" ht="15" hidden="false" customHeight="false" outlineLevel="0" collapsed="false">
      <c r="A1631" s="1" t="s">
        <v>2025</v>
      </c>
      <c r="B1631" s="1" t="s">
        <v>1371</v>
      </c>
      <c r="C1631" s="1" t="s">
        <v>2000</v>
      </c>
      <c r="D1631" s="1" t="s">
        <v>1788</v>
      </c>
      <c r="E1631" s="1" t="s">
        <v>2023</v>
      </c>
      <c r="F1631" s="1" t="s">
        <v>2026</v>
      </c>
      <c r="G1631" s="8" t="s">
        <v>1607</v>
      </c>
      <c r="I1631" s="1" t="n">
        <v>5</v>
      </c>
    </row>
    <row r="1632" customFormat="false" ht="15" hidden="false" customHeight="false" outlineLevel="0" collapsed="false">
      <c r="A1632" s="1" t="s">
        <v>2025</v>
      </c>
      <c r="B1632" s="1" t="s">
        <v>1371</v>
      </c>
      <c r="C1632" s="1" t="s">
        <v>2001</v>
      </c>
      <c r="D1632" s="1" t="s">
        <v>1788</v>
      </c>
      <c r="E1632" s="1" t="s">
        <v>2023</v>
      </c>
      <c r="F1632" s="1" t="s">
        <v>2026</v>
      </c>
      <c r="G1632" s="8" t="s">
        <v>1607</v>
      </c>
      <c r="I1632" s="1" t="n">
        <v>5</v>
      </c>
    </row>
    <row r="1633" customFormat="false" ht="15" hidden="false" customHeight="false" outlineLevel="0" collapsed="false">
      <c r="A1633" s="1" t="s">
        <v>2025</v>
      </c>
      <c r="B1633" s="1" t="s">
        <v>1371</v>
      </c>
      <c r="C1633" s="1" t="s">
        <v>2002</v>
      </c>
      <c r="D1633" s="1" t="s">
        <v>1788</v>
      </c>
      <c r="E1633" s="1" t="s">
        <v>2023</v>
      </c>
      <c r="F1633" s="1" t="s">
        <v>2026</v>
      </c>
      <c r="G1633" s="8" t="s">
        <v>1607</v>
      </c>
      <c r="I1633" s="1" t="n">
        <v>6</v>
      </c>
    </row>
    <row r="1634" customFormat="false" ht="15" hidden="false" customHeight="false" outlineLevel="0" collapsed="false">
      <c r="A1634" s="1" t="s">
        <v>2025</v>
      </c>
      <c r="B1634" s="1" t="s">
        <v>1371</v>
      </c>
      <c r="C1634" s="1" t="s">
        <v>2003</v>
      </c>
      <c r="D1634" s="1" t="s">
        <v>1788</v>
      </c>
      <c r="E1634" s="1" t="s">
        <v>2023</v>
      </c>
      <c r="F1634" s="1" t="s">
        <v>2026</v>
      </c>
      <c r="G1634" s="8" t="s">
        <v>1607</v>
      </c>
      <c r="I1634" s="1" t="n">
        <v>5</v>
      </c>
    </row>
    <row r="1635" customFormat="false" ht="15" hidden="false" customHeight="false" outlineLevel="0" collapsed="false">
      <c r="A1635" s="1" t="s">
        <v>2025</v>
      </c>
      <c r="B1635" s="1" t="s">
        <v>1373</v>
      </c>
      <c r="C1635" s="1" t="s">
        <v>1374</v>
      </c>
      <c r="D1635" s="1" t="s">
        <v>1788</v>
      </c>
      <c r="E1635" s="1" t="s">
        <v>2023</v>
      </c>
      <c r="F1635" s="1" t="s">
        <v>2026</v>
      </c>
      <c r="G1635" s="8" t="s">
        <v>1607</v>
      </c>
      <c r="I1635" s="1" t="n">
        <v>360</v>
      </c>
    </row>
    <row r="1636" customFormat="false" ht="15" hidden="false" customHeight="false" outlineLevel="0" collapsed="false">
      <c r="A1636" s="1" t="s">
        <v>2025</v>
      </c>
      <c r="B1636" s="1" t="s">
        <v>1375</v>
      </c>
      <c r="C1636" s="1" t="s">
        <v>1376</v>
      </c>
      <c r="D1636" s="1" t="s">
        <v>1788</v>
      </c>
      <c r="E1636" s="1" t="s">
        <v>2023</v>
      </c>
      <c r="F1636" s="1" t="s">
        <v>2026</v>
      </c>
      <c r="G1636" s="8" t="s">
        <v>1607</v>
      </c>
      <c r="I1636" s="1" t="n">
        <v>591</v>
      </c>
    </row>
    <row r="1637" customFormat="false" ht="15" hidden="false" customHeight="false" outlineLevel="0" collapsed="false">
      <c r="A1637" s="1" t="s">
        <v>2025</v>
      </c>
      <c r="B1637" s="1" t="s">
        <v>1377</v>
      </c>
      <c r="C1637" s="1" t="s">
        <v>1378</v>
      </c>
      <c r="D1637" s="1" t="s">
        <v>1788</v>
      </c>
      <c r="E1637" s="1" t="s">
        <v>2023</v>
      </c>
      <c r="F1637" s="1" t="s">
        <v>2026</v>
      </c>
      <c r="G1637" s="8" t="s">
        <v>1607</v>
      </c>
      <c r="I1637" s="1" t="n">
        <v>769</v>
      </c>
    </row>
    <row r="1638" customFormat="false" ht="15" hidden="false" customHeight="false" outlineLevel="0" collapsed="false">
      <c r="A1638" s="1" t="s">
        <v>2025</v>
      </c>
      <c r="B1638" s="1" t="s">
        <v>1379</v>
      </c>
      <c r="C1638" s="1" t="s">
        <v>1380</v>
      </c>
      <c r="D1638" s="1" t="s">
        <v>1788</v>
      </c>
      <c r="E1638" s="1" t="s">
        <v>2023</v>
      </c>
      <c r="F1638" s="1" t="s">
        <v>2026</v>
      </c>
      <c r="G1638" s="8" t="s">
        <v>1607</v>
      </c>
      <c r="I1638" s="1" t="n">
        <v>33</v>
      </c>
    </row>
    <row r="1639" customFormat="false" ht="15" hidden="false" customHeight="false" outlineLevel="0" collapsed="false">
      <c r="A1639" s="1" t="s">
        <v>2025</v>
      </c>
      <c r="B1639" s="1" t="s">
        <v>1381</v>
      </c>
      <c r="C1639" s="1" t="s">
        <v>1382</v>
      </c>
      <c r="D1639" s="1" t="s">
        <v>1788</v>
      </c>
      <c r="E1639" s="1" t="s">
        <v>2023</v>
      </c>
      <c r="F1639" s="1" t="s">
        <v>2026</v>
      </c>
      <c r="G1639" s="8" t="s">
        <v>1632</v>
      </c>
      <c r="H1639" s="1" t="s">
        <v>1383</v>
      </c>
      <c r="I1639" s="1" t="n">
        <v>62</v>
      </c>
    </row>
    <row r="1640" customFormat="false" ht="15" hidden="false" customHeight="false" outlineLevel="0" collapsed="false">
      <c r="A1640" s="1" t="s">
        <v>2025</v>
      </c>
      <c r="B1640" s="1" t="s">
        <v>1384</v>
      </c>
      <c r="C1640" s="1" t="s">
        <v>1385</v>
      </c>
      <c r="D1640" s="1" t="s">
        <v>1788</v>
      </c>
      <c r="E1640" s="1" t="s">
        <v>2023</v>
      </c>
      <c r="F1640" s="1" t="s">
        <v>2026</v>
      </c>
      <c r="G1640" s="8" t="s">
        <v>1607</v>
      </c>
      <c r="I1640" s="1" t="n">
        <v>16</v>
      </c>
    </row>
    <row r="1641" customFormat="false" ht="15" hidden="false" customHeight="false" outlineLevel="0" collapsed="false">
      <c r="A1641" s="1" t="s">
        <v>2025</v>
      </c>
      <c r="B1641" s="1" t="s">
        <v>781</v>
      </c>
      <c r="C1641" s="1" t="s">
        <v>782</v>
      </c>
      <c r="D1641" s="1" t="s">
        <v>1788</v>
      </c>
      <c r="E1641" s="1" t="s">
        <v>2023</v>
      </c>
      <c r="F1641" s="1" t="s">
        <v>2026</v>
      </c>
      <c r="G1641" s="8" t="s">
        <v>1607</v>
      </c>
      <c r="I1641" s="1" t="n">
        <v>880</v>
      </c>
    </row>
    <row r="1642" customFormat="false" ht="15" hidden="false" customHeight="false" outlineLevel="0" collapsed="false">
      <c r="A1642" s="1" t="s">
        <v>2025</v>
      </c>
      <c r="B1642" s="1" t="s">
        <v>784</v>
      </c>
      <c r="C1642" s="1" t="s">
        <v>785</v>
      </c>
      <c r="D1642" s="1" t="s">
        <v>1788</v>
      </c>
      <c r="E1642" s="1" t="s">
        <v>2023</v>
      </c>
      <c r="F1642" s="1" t="s">
        <v>2026</v>
      </c>
      <c r="G1642" s="8" t="s">
        <v>1607</v>
      </c>
      <c r="I1642" s="1" t="n">
        <v>971</v>
      </c>
    </row>
    <row r="1643" customFormat="false" ht="15" hidden="false" customHeight="false" outlineLevel="0" collapsed="false">
      <c r="A1643" s="1" t="s">
        <v>2025</v>
      </c>
      <c r="B1643" s="1" t="s">
        <v>786</v>
      </c>
      <c r="C1643" s="1" t="s">
        <v>787</v>
      </c>
      <c r="D1643" s="1" t="s">
        <v>1788</v>
      </c>
      <c r="E1643" s="1" t="s">
        <v>2023</v>
      </c>
      <c r="F1643" s="1" t="s">
        <v>2026</v>
      </c>
      <c r="G1643" s="8" t="s">
        <v>1607</v>
      </c>
      <c r="I1643" s="1" t="n">
        <v>774</v>
      </c>
    </row>
    <row r="1644" customFormat="false" ht="15" hidden="false" customHeight="false" outlineLevel="0" collapsed="false">
      <c r="A1644" s="1" t="s">
        <v>2025</v>
      </c>
      <c r="B1644" s="1" t="s">
        <v>788</v>
      </c>
      <c r="C1644" s="1" t="s">
        <v>789</v>
      </c>
      <c r="D1644" s="1" t="s">
        <v>1788</v>
      </c>
      <c r="E1644" s="1" t="s">
        <v>2023</v>
      </c>
      <c r="F1644" s="1" t="s">
        <v>2026</v>
      </c>
      <c r="G1644" s="8" t="s">
        <v>1607</v>
      </c>
      <c r="I1644" s="1" t="n">
        <v>720</v>
      </c>
    </row>
    <row r="1645" customFormat="false" ht="15" hidden="false" customHeight="false" outlineLevel="0" collapsed="false">
      <c r="A1645" s="1" t="s">
        <v>2025</v>
      </c>
      <c r="B1645" s="1" t="s">
        <v>790</v>
      </c>
      <c r="C1645" s="1" t="s">
        <v>791</v>
      </c>
      <c r="D1645" s="1" t="s">
        <v>1788</v>
      </c>
      <c r="E1645" s="1" t="s">
        <v>2023</v>
      </c>
      <c r="F1645" s="1" t="s">
        <v>2026</v>
      </c>
      <c r="G1645" s="8" t="s">
        <v>1607</v>
      </c>
      <c r="I1645" s="1" t="n">
        <v>749</v>
      </c>
    </row>
    <row r="1646" customFormat="false" ht="15" hidden="false" customHeight="false" outlineLevel="0" collapsed="false">
      <c r="A1646" s="1" t="s">
        <v>2025</v>
      </c>
      <c r="B1646" s="1" t="s">
        <v>792</v>
      </c>
      <c r="C1646" s="1" t="s">
        <v>793</v>
      </c>
      <c r="D1646" s="1" t="s">
        <v>1788</v>
      </c>
      <c r="E1646" s="1" t="s">
        <v>2023</v>
      </c>
      <c r="F1646" s="1" t="s">
        <v>2026</v>
      </c>
      <c r="G1646" s="8" t="s">
        <v>1607</v>
      </c>
      <c r="I1646" s="1" t="n">
        <v>1345</v>
      </c>
    </row>
    <row r="1647" customFormat="false" ht="15" hidden="false" customHeight="false" outlineLevel="0" collapsed="false">
      <c r="A1647" s="1" t="s">
        <v>2025</v>
      </c>
      <c r="B1647" s="1" t="s">
        <v>794</v>
      </c>
      <c r="C1647" s="1" t="s">
        <v>795</v>
      </c>
      <c r="D1647" s="1" t="s">
        <v>1788</v>
      </c>
      <c r="E1647" s="1" t="s">
        <v>2023</v>
      </c>
      <c r="F1647" s="1" t="s">
        <v>2026</v>
      </c>
      <c r="G1647" s="8" t="s">
        <v>1607</v>
      </c>
      <c r="I1647" s="1" t="n">
        <v>733</v>
      </c>
    </row>
    <row r="1648" customFormat="false" ht="15" hidden="false" customHeight="false" outlineLevel="0" collapsed="false">
      <c r="A1648" s="1" t="s">
        <v>2025</v>
      </c>
      <c r="B1648" s="1" t="s">
        <v>796</v>
      </c>
      <c r="C1648" s="1" t="s">
        <v>797</v>
      </c>
      <c r="D1648" s="1" t="s">
        <v>1788</v>
      </c>
      <c r="E1648" s="1" t="s">
        <v>2023</v>
      </c>
      <c r="F1648" s="1" t="s">
        <v>2026</v>
      </c>
      <c r="G1648" s="8" t="s">
        <v>1607</v>
      </c>
      <c r="I1648" s="1" t="n">
        <v>1077</v>
      </c>
    </row>
    <row r="1649" customFormat="false" ht="15" hidden="false" customHeight="false" outlineLevel="0" collapsed="false">
      <c r="A1649" s="1" t="s">
        <v>2025</v>
      </c>
      <c r="B1649" s="1" t="s">
        <v>798</v>
      </c>
      <c r="C1649" s="1" t="s">
        <v>799</v>
      </c>
      <c r="D1649" s="1" t="s">
        <v>1788</v>
      </c>
      <c r="E1649" s="1" t="s">
        <v>2023</v>
      </c>
      <c r="F1649" s="1" t="s">
        <v>2026</v>
      </c>
      <c r="G1649" s="8" t="s">
        <v>1632</v>
      </c>
      <c r="H1649" s="1" t="s">
        <v>800</v>
      </c>
      <c r="I1649" s="1" t="n">
        <v>25</v>
      </c>
    </row>
    <row r="1650" customFormat="false" ht="15" hidden="false" customHeight="false" outlineLevel="0" collapsed="false">
      <c r="A1650" s="1" t="s">
        <v>2025</v>
      </c>
      <c r="B1650" s="1" t="s">
        <v>1528</v>
      </c>
      <c r="C1650" s="1" t="s">
        <v>1529</v>
      </c>
      <c r="D1650" s="1" t="s">
        <v>1788</v>
      </c>
      <c r="E1650" s="1" t="s">
        <v>2023</v>
      </c>
      <c r="F1650" s="1" t="s">
        <v>2026</v>
      </c>
      <c r="G1650" s="8" t="s">
        <v>1607</v>
      </c>
      <c r="I1650" s="1" t="n">
        <v>2</v>
      </c>
    </row>
    <row r="1651" customFormat="false" ht="15" hidden="false" customHeight="false" outlineLevel="0" collapsed="false">
      <c r="A1651" s="1" t="s">
        <v>2025</v>
      </c>
      <c r="B1651" s="1" t="s">
        <v>1531</v>
      </c>
      <c r="C1651" s="1" t="s">
        <v>1532</v>
      </c>
      <c r="D1651" s="1" t="s">
        <v>1788</v>
      </c>
      <c r="E1651" s="1" t="s">
        <v>2023</v>
      </c>
      <c r="F1651" s="1" t="s">
        <v>2026</v>
      </c>
      <c r="G1651" s="8" t="s">
        <v>1607</v>
      </c>
      <c r="I1651" s="1" t="n">
        <v>1</v>
      </c>
    </row>
    <row r="1652" customFormat="false" ht="15" hidden="false" customHeight="false" outlineLevel="0" collapsed="false">
      <c r="A1652" s="1" t="s">
        <v>2025</v>
      </c>
      <c r="B1652" s="1" t="s">
        <v>1533</v>
      </c>
      <c r="C1652" s="1" t="s">
        <v>1534</v>
      </c>
      <c r="D1652" s="1" t="s">
        <v>1788</v>
      </c>
      <c r="E1652" s="1" t="s">
        <v>2023</v>
      </c>
      <c r="F1652" s="1" t="s">
        <v>2026</v>
      </c>
      <c r="G1652" s="8" t="s">
        <v>1607</v>
      </c>
      <c r="I1652" s="1" t="n">
        <v>0</v>
      </c>
    </row>
    <row r="1653" customFormat="false" ht="15" hidden="false" customHeight="false" outlineLevel="0" collapsed="false">
      <c r="A1653" s="1" t="s">
        <v>2025</v>
      </c>
      <c r="B1653" s="1" t="s">
        <v>1535</v>
      </c>
      <c r="C1653" s="1" t="s">
        <v>1536</v>
      </c>
      <c r="D1653" s="1" t="s">
        <v>1788</v>
      </c>
      <c r="E1653" s="1" t="s">
        <v>2023</v>
      </c>
      <c r="F1653" s="1" t="s">
        <v>2026</v>
      </c>
      <c r="G1653" s="8" t="s">
        <v>1607</v>
      </c>
      <c r="I1653" s="1" t="n">
        <v>0</v>
      </c>
    </row>
    <row r="1654" customFormat="false" ht="15" hidden="false" customHeight="false" outlineLevel="0" collapsed="false">
      <c r="A1654" s="1" t="s">
        <v>2025</v>
      </c>
      <c r="B1654" s="1" t="s">
        <v>1537</v>
      </c>
      <c r="C1654" s="1" t="s">
        <v>1538</v>
      </c>
      <c r="D1654" s="1" t="s">
        <v>1788</v>
      </c>
      <c r="E1654" s="1" t="s">
        <v>2023</v>
      </c>
      <c r="F1654" s="1" t="s">
        <v>2026</v>
      </c>
      <c r="G1654" s="8" t="s">
        <v>1607</v>
      </c>
      <c r="I1654" s="1" t="n">
        <v>1</v>
      </c>
    </row>
    <row r="1655" customFormat="false" ht="15" hidden="false" customHeight="false" outlineLevel="0" collapsed="false">
      <c r="A1655" s="1" t="s">
        <v>2025</v>
      </c>
      <c r="B1655" s="1" t="s">
        <v>1539</v>
      </c>
      <c r="C1655" s="1" t="s">
        <v>1540</v>
      </c>
      <c r="D1655" s="1" t="s">
        <v>1788</v>
      </c>
      <c r="E1655" s="1" t="s">
        <v>2023</v>
      </c>
      <c r="F1655" s="1" t="s">
        <v>2026</v>
      </c>
      <c r="G1655" s="8" t="s">
        <v>1607</v>
      </c>
      <c r="I1655" s="1" t="n">
        <v>1</v>
      </c>
    </row>
    <row r="1656" customFormat="false" ht="15" hidden="false" customHeight="false" outlineLevel="0" collapsed="false">
      <c r="A1656" s="1" t="s">
        <v>2025</v>
      </c>
      <c r="B1656" s="1" t="s">
        <v>1541</v>
      </c>
      <c r="C1656" s="1" t="s">
        <v>1542</v>
      </c>
      <c r="D1656" s="1" t="s">
        <v>1788</v>
      </c>
      <c r="E1656" s="1" t="s">
        <v>2023</v>
      </c>
      <c r="F1656" s="1" t="s">
        <v>2026</v>
      </c>
      <c r="G1656" s="8" t="s">
        <v>1607</v>
      </c>
      <c r="I1656" s="1" t="n">
        <v>0</v>
      </c>
    </row>
    <row r="1657" customFormat="false" ht="15" hidden="false" customHeight="false" outlineLevel="0" collapsed="false">
      <c r="A1657" s="1" t="s">
        <v>2025</v>
      </c>
      <c r="B1657" s="1" t="s">
        <v>1543</v>
      </c>
      <c r="C1657" s="1" t="s">
        <v>1544</v>
      </c>
      <c r="D1657" s="1" t="s">
        <v>1788</v>
      </c>
      <c r="E1657" s="1" t="s">
        <v>2023</v>
      </c>
      <c r="F1657" s="1" t="s">
        <v>2026</v>
      </c>
      <c r="G1657" s="8" t="s">
        <v>1607</v>
      </c>
      <c r="I1657" s="1" t="n">
        <v>0</v>
      </c>
    </row>
    <row r="1658" customFormat="false" ht="15" hidden="false" customHeight="false" outlineLevel="0" collapsed="false">
      <c r="A1658" s="1" t="s">
        <v>2025</v>
      </c>
      <c r="B1658" s="1" t="s">
        <v>1545</v>
      </c>
      <c r="C1658" s="1" t="s">
        <v>1546</v>
      </c>
      <c r="D1658" s="1" t="s">
        <v>1788</v>
      </c>
      <c r="E1658" s="1" t="s">
        <v>2023</v>
      </c>
      <c r="F1658" s="1" t="s">
        <v>2026</v>
      </c>
      <c r="G1658" s="8" t="s">
        <v>1607</v>
      </c>
      <c r="I1658" s="1" t="n">
        <v>2</v>
      </c>
    </row>
    <row r="1659" customFormat="false" ht="15" hidden="false" customHeight="false" outlineLevel="0" collapsed="false">
      <c r="A1659" s="1" t="s">
        <v>2025</v>
      </c>
      <c r="B1659" s="1" t="s">
        <v>1547</v>
      </c>
      <c r="C1659" s="1" t="s">
        <v>1548</v>
      </c>
      <c r="D1659" s="1" t="s">
        <v>1788</v>
      </c>
      <c r="E1659" s="1" t="s">
        <v>2023</v>
      </c>
      <c r="F1659" s="1" t="s">
        <v>2026</v>
      </c>
      <c r="G1659" s="8" t="s">
        <v>1607</v>
      </c>
      <c r="I1659" s="1" t="n">
        <v>4</v>
      </c>
    </row>
    <row r="1660" customFormat="false" ht="15" hidden="false" customHeight="false" outlineLevel="0" collapsed="false">
      <c r="A1660" s="1" t="s">
        <v>2025</v>
      </c>
      <c r="B1660" s="1" t="s">
        <v>999</v>
      </c>
      <c r="C1660" s="1" t="s">
        <v>1000</v>
      </c>
      <c r="D1660" s="1" t="s">
        <v>1788</v>
      </c>
      <c r="E1660" s="1" t="s">
        <v>2023</v>
      </c>
      <c r="F1660" s="1" t="s">
        <v>2026</v>
      </c>
      <c r="G1660" s="8" t="s">
        <v>1607</v>
      </c>
      <c r="I1660" s="1" t="n">
        <v>3</v>
      </c>
    </row>
    <row r="1661" customFormat="false" ht="15" hidden="false" customHeight="false" outlineLevel="0" collapsed="false">
      <c r="A1661" s="1" t="s">
        <v>2025</v>
      </c>
      <c r="B1661" s="1" t="s">
        <v>1003</v>
      </c>
      <c r="C1661" s="1" t="s">
        <v>1004</v>
      </c>
      <c r="D1661" s="1" t="s">
        <v>1788</v>
      </c>
      <c r="E1661" s="1" t="s">
        <v>2023</v>
      </c>
      <c r="F1661" s="1" t="s">
        <v>2026</v>
      </c>
      <c r="G1661" s="8" t="s">
        <v>1607</v>
      </c>
      <c r="I1661" s="1" t="n">
        <v>0</v>
      </c>
    </row>
    <row r="1662" customFormat="false" ht="15" hidden="false" customHeight="false" outlineLevel="0" collapsed="false">
      <c r="A1662" s="1" t="s">
        <v>2025</v>
      </c>
      <c r="B1662" s="1" t="s">
        <v>1005</v>
      </c>
      <c r="C1662" s="1" t="s">
        <v>1006</v>
      </c>
      <c r="D1662" s="1" t="s">
        <v>1788</v>
      </c>
      <c r="E1662" s="1" t="s">
        <v>2023</v>
      </c>
      <c r="F1662" s="1" t="s">
        <v>2026</v>
      </c>
      <c r="G1662" s="8" t="s">
        <v>1607</v>
      </c>
      <c r="I1662" s="1" t="n">
        <v>0</v>
      </c>
    </row>
    <row r="1663" customFormat="false" ht="15" hidden="false" customHeight="false" outlineLevel="0" collapsed="false">
      <c r="A1663" s="1" t="s">
        <v>2025</v>
      </c>
      <c r="B1663" s="1" t="s">
        <v>1007</v>
      </c>
      <c r="C1663" s="1" t="s">
        <v>1008</v>
      </c>
      <c r="D1663" s="1" t="s">
        <v>1788</v>
      </c>
      <c r="E1663" s="1" t="s">
        <v>2023</v>
      </c>
      <c r="F1663" s="1" t="s">
        <v>2026</v>
      </c>
      <c r="G1663" s="8" t="s">
        <v>1607</v>
      </c>
      <c r="I1663" s="1" t="n">
        <v>1</v>
      </c>
    </row>
    <row r="1664" customFormat="false" ht="15" hidden="false" customHeight="false" outlineLevel="0" collapsed="false">
      <c r="A1664" s="1" t="s">
        <v>2025</v>
      </c>
      <c r="B1664" s="1" t="s">
        <v>1009</v>
      </c>
      <c r="C1664" s="1" t="s">
        <v>1010</v>
      </c>
      <c r="D1664" s="1" t="s">
        <v>1788</v>
      </c>
      <c r="E1664" s="1" t="s">
        <v>2023</v>
      </c>
      <c r="F1664" s="1" t="s">
        <v>2026</v>
      </c>
      <c r="G1664" s="8" t="s">
        <v>1607</v>
      </c>
      <c r="I1664" s="1" t="n">
        <v>0</v>
      </c>
    </row>
    <row r="1665" customFormat="false" ht="15" hidden="false" customHeight="false" outlineLevel="0" collapsed="false">
      <c r="A1665" s="1" t="s">
        <v>2025</v>
      </c>
      <c r="B1665" s="1" t="s">
        <v>1011</v>
      </c>
      <c r="C1665" s="1" t="s">
        <v>1012</v>
      </c>
      <c r="D1665" s="1" t="s">
        <v>1788</v>
      </c>
      <c r="E1665" s="1" t="s">
        <v>2023</v>
      </c>
      <c r="F1665" s="1" t="s">
        <v>2026</v>
      </c>
      <c r="G1665" s="8" t="s">
        <v>1607</v>
      </c>
      <c r="I1665" s="1" t="n">
        <v>1</v>
      </c>
    </row>
    <row r="1666" customFormat="false" ht="15" hidden="false" customHeight="false" outlineLevel="0" collapsed="false">
      <c r="A1666" s="1" t="s">
        <v>2025</v>
      </c>
      <c r="B1666" s="1" t="s">
        <v>1013</v>
      </c>
      <c r="C1666" s="1" t="s">
        <v>1014</v>
      </c>
      <c r="D1666" s="1" t="s">
        <v>1788</v>
      </c>
      <c r="E1666" s="1" t="s">
        <v>2023</v>
      </c>
      <c r="F1666" s="1" t="s">
        <v>2026</v>
      </c>
      <c r="G1666" s="8" t="s">
        <v>1607</v>
      </c>
      <c r="I1666" s="1" t="n">
        <v>20</v>
      </c>
    </row>
    <row r="1667" customFormat="false" ht="15" hidden="false" customHeight="false" outlineLevel="0" collapsed="false">
      <c r="A1667" s="1" t="s">
        <v>2025</v>
      </c>
      <c r="B1667" s="1" t="s">
        <v>1013</v>
      </c>
      <c r="C1667" s="1" t="s">
        <v>2004</v>
      </c>
      <c r="D1667" s="1" t="s">
        <v>1788</v>
      </c>
      <c r="E1667" s="1" t="s">
        <v>2023</v>
      </c>
      <c r="F1667" s="1" t="s">
        <v>2026</v>
      </c>
      <c r="G1667" s="8" t="s">
        <v>1607</v>
      </c>
      <c r="I1667" s="1" t="n">
        <v>0</v>
      </c>
    </row>
    <row r="1668" customFormat="false" ht="15" hidden="false" customHeight="false" outlineLevel="0" collapsed="false">
      <c r="A1668" s="1" t="s">
        <v>2025</v>
      </c>
      <c r="B1668" s="1" t="s">
        <v>1013</v>
      </c>
      <c r="C1668" s="1" t="s">
        <v>2005</v>
      </c>
      <c r="D1668" s="1" t="s">
        <v>1788</v>
      </c>
      <c r="E1668" s="1" t="s">
        <v>2023</v>
      </c>
      <c r="F1668" s="1" t="s">
        <v>2026</v>
      </c>
      <c r="G1668" s="8" t="s">
        <v>1607</v>
      </c>
      <c r="I1668" s="1" t="n">
        <v>0</v>
      </c>
    </row>
    <row r="1669" customFormat="false" ht="15" hidden="false" customHeight="false" outlineLevel="0" collapsed="false">
      <c r="A1669" s="1" t="s">
        <v>2025</v>
      </c>
      <c r="B1669" s="1" t="s">
        <v>1013</v>
      </c>
      <c r="C1669" s="1" t="s">
        <v>2006</v>
      </c>
      <c r="D1669" s="1" t="s">
        <v>1788</v>
      </c>
      <c r="E1669" s="1" t="s">
        <v>2023</v>
      </c>
      <c r="F1669" s="1" t="s">
        <v>2026</v>
      </c>
      <c r="G1669" s="8" t="s">
        <v>1607</v>
      </c>
      <c r="I1669" s="1" t="n">
        <v>0</v>
      </c>
    </row>
    <row r="1670" customFormat="false" ht="15" hidden="false" customHeight="false" outlineLevel="0" collapsed="false">
      <c r="A1670" s="1" t="s">
        <v>2025</v>
      </c>
      <c r="B1670" s="1" t="s">
        <v>1013</v>
      </c>
      <c r="C1670" s="1" t="s">
        <v>2007</v>
      </c>
      <c r="D1670" s="1" t="s">
        <v>1788</v>
      </c>
      <c r="E1670" s="1" t="s">
        <v>2023</v>
      </c>
      <c r="F1670" s="1" t="s">
        <v>2026</v>
      </c>
      <c r="G1670" s="8" t="s">
        <v>1607</v>
      </c>
      <c r="I1670" s="1" t="n">
        <v>0</v>
      </c>
    </row>
    <row r="1671" customFormat="false" ht="15" hidden="false" customHeight="false" outlineLevel="0" collapsed="false">
      <c r="A1671" s="1" t="s">
        <v>2025</v>
      </c>
      <c r="B1671" s="1" t="s">
        <v>1013</v>
      </c>
      <c r="C1671" s="1" t="s">
        <v>2008</v>
      </c>
      <c r="D1671" s="1" t="s">
        <v>1788</v>
      </c>
      <c r="E1671" s="1" t="s">
        <v>2023</v>
      </c>
      <c r="F1671" s="1" t="s">
        <v>2026</v>
      </c>
      <c r="G1671" s="8" t="s">
        <v>1607</v>
      </c>
      <c r="I1671" s="1" t="n">
        <v>0</v>
      </c>
    </row>
    <row r="1672" customFormat="false" ht="15" hidden="false" customHeight="false" outlineLevel="0" collapsed="false">
      <c r="A1672" s="1" t="s">
        <v>2025</v>
      </c>
      <c r="B1672" s="1" t="s">
        <v>1013</v>
      </c>
      <c r="C1672" s="1" t="s">
        <v>2009</v>
      </c>
      <c r="D1672" s="1" t="s">
        <v>1788</v>
      </c>
      <c r="E1672" s="1" t="s">
        <v>2023</v>
      </c>
      <c r="F1672" s="1" t="s">
        <v>2026</v>
      </c>
      <c r="G1672" s="8" t="s">
        <v>1607</v>
      </c>
      <c r="I1672" s="1" t="n">
        <v>0</v>
      </c>
    </row>
    <row r="1673" customFormat="false" ht="15" hidden="false" customHeight="false" outlineLevel="0" collapsed="false">
      <c r="A1673" s="1" t="s">
        <v>2025</v>
      </c>
      <c r="B1673" s="1" t="s">
        <v>1013</v>
      </c>
      <c r="C1673" s="1" t="s">
        <v>2010</v>
      </c>
      <c r="D1673" s="1" t="s">
        <v>1788</v>
      </c>
      <c r="E1673" s="1" t="s">
        <v>2023</v>
      </c>
      <c r="F1673" s="1" t="s">
        <v>2026</v>
      </c>
      <c r="G1673" s="8" t="s">
        <v>1607</v>
      </c>
      <c r="I1673" s="1" t="n">
        <v>0</v>
      </c>
    </row>
    <row r="1674" customFormat="false" ht="15" hidden="false" customHeight="false" outlineLevel="0" collapsed="false">
      <c r="A1674" s="1" t="s">
        <v>2025</v>
      </c>
      <c r="B1674" s="1" t="s">
        <v>1013</v>
      </c>
      <c r="C1674" s="1" t="s">
        <v>2011</v>
      </c>
      <c r="D1674" s="1" t="s">
        <v>1788</v>
      </c>
      <c r="E1674" s="1" t="s">
        <v>2023</v>
      </c>
      <c r="F1674" s="1" t="s">
        <v>2026</v>
      </c>
      <c r="G1674" s="8" t="s">
        <v>1607</v>
      </c>
      <c r="I1674" s="1" t="n">
        <v>0</v>
      </c>
    </row>
    <row r="1675" customFormat="false" ht="15" hidden="false" customHeight="false" outlineLevel="0" collapsed="false">
      <c r="A1675" s="1" t="s">
        <v>2025</v>
      </c>
      <c r="B1675" s="1" t="s">
        <v>1015</v>
      </c>
      <c r="C1675" s="1" t="s">
        <v>1016</v>
      </c>
      <c r="D1675" s="1" t="s">
        <v>1788</v>
      </c>
      <c r="E1675" s="1" t="s">
        <v>2023</v>
      </c>
      <c r="F1675" s="1" t="s">
        <v>2026</v>
      </c>
      <c r="G1675" s="8" t="s">
        <v>1607</v>
      </c>
      <c r="I1675" s="1" t="n">
        <v>0</v>
      </c>
    </row>
    <row r="1676" customFormat="false" ht="15" hidden="false" customHeight="false" outlineLevel="0" collapsed="false">
      <c r="A1676" s="1" t="s">
        <v>2025</v>
      </c>
      <c r="B1676" s="1" t="s">
        <v>1015</v>
      </c>
      <c r="C1676" s="1" t="s">
        <v>2012</v>
      </c>
      <c r="D1676" s="1" t="s">
        <v>1788</v>
      </c>
      <c r="E1676" s="1" t="s">
        <v>2023</v>
      </c>
      <c r="F1676" s="1" t="s">
        <v>2026</v>
      </c>
      <c r="G1676" s="8" t="s">
        <v>1607</v>
      </c>
      <c r="I1676" s="1" t="n">
        <v>0</v>
      </c>
    </row>
    <row r="1677" customFormat="false" ht="15" hidden="false" customHeight="false" outlineLevel="0" collapsed="false">
      <c r="A1677" s="1" t="s">
        <v>2025</v>
      </c>
      <c r="B1677" s="1" t="s">
        <v>1015</v>
      </c>
      <c r="C1677" s="1" t="s">
        <v>2013</v>
      </c>
      <c r="D1677" s="1" t="s">
        <v>1788</v>
      </c>
      <c r="E1677" s="1" t="s">
        <v>2023</v>
      </c>
      <c r="F1677" s="1" t="s">
        <v>2026</v>
      </c>
      <c r="G1677" s="8" t="s">
        <v>1607</v>
      </c>
      <c r="I1677" s="1" t="n">
        <v>0</v>
      </c>
    </row>
    <row r="1678" customFormat="false" ht="15" hidden="false" customHeight="false" outlineLevel="0" collapsed="false">
      <c r="A1678" s="1" t="s">
        <v>2025</v>
      </c>
      <c r="B1678" s="1" t="s">
        <v>1015</v>
      </c>
      <c r="C1678" s="1" t="s">
        <v>2014</v>
      </c>
      <c r="D1678" s="1" t="s">
        <v>1788</v>
      </c>
      <c r="E1678" s="1" t="s">
        <v>2023</v>
      </c>
      <c r="F1678" s="1" t="s">
        <v>2026</v>
      </c>
      <c r="G1678" s="8" t="s">
        <v>1607</v>
      </c>
      <c r="I1678" s="1" t="n">
        <v>0</v>
      </c>
    </row>
    <row r="1679" customFormat="false" ht="15" hidden="false" customHeight="false" outlineLevel="0" collapsed="false">
      <c r="A1679" s="1" t="s">
        <v>2025</v>
      </c>
      <c r="B1679" s="1" t="s">
        <v>1017</v>
      </c>
      <c r="C1679" s="1" t="s">
        <v>1018</v>
      </c>
      <c r="D1679" s="1" t="s">
        <v>1788</v>
      </c>
      <c r="E1679" s="1" t="s">
        <v>2023</v>
      </c>
      <c r="F1679" s="1" t="s">
        <v>2026</v>
      </c>
      <c r="G1679" s="8" t="s">
        <v>1607</v>
      </c>
      <c r="I1679" s="1" t="n">
        <v>0</v>
      </c>
    </row>
    <row r="1680" customFormat="false" ht="15" hidden="false" customHeight="false" outlineLevel="0" collapsed="false">
      <c r="A1680" s="1" t="s">
        <v>2025</v>
      </c>
      <c r="B1680" s="1" t="s">
        <v>1019</v>
      </c>
      <c r="C1680" s="1" t="s">
        <v>1020</v>
      </c>
      <c r="D1680" s="1" t="s">
        <v>1788</v>
      </c>
      <c r="E1680" s="1" t="s">
        <v>2023</v>
      </c>
      <c r="F1680" s="1" t="s">
        <v>2026</v>
      </c>
      <c r="G1680" s="8" t="s">
        <v>1607</v>
      </c>
      <c r="I1680" s="1" t="n">
        <v>0</v>
      </c>
    </row>
    <row r="1681" customFormat="false" ht="15" hidden="false" customHeight="false" outlineLevel="0" collapsed="false">
      <c r="A1681" s="1" t="s">
        <v>2025</v>
      </c>
      <c r="B1681" s="1" t="s">
        <v>1021</v>
      </c>
      <c r="C1681" s="1" t="s">
        <v>1022</v>
      </c>
      <c r="D1681" s="1" t="s">
        <v>1788</v>
      </c>
      <c r="E1681" s="1" t="s">
        <v>2023</v>
      </c>
      <c r="F1681" s="1" t="s">
        <v>2026</v>
      </c>
      <c r="G1681" s="8" t="s">
        <v>1607</v>
      </c>
      <c r="I1681" s="1" t="n">
        <v>0</v>
      </c>
    </row>
    <row r="1682" customFormat="false" ht="15" hidden="false" customHeight="false" outlineLevel="0" collapsed="false">
      <c r="A1682" s="1" t="s">
        <v>2025</v>
      </c>
      <c r="B1682" s="1" t="s">
        <v>1023</v>
      </c>
      <c r="C1682" s="1" t="s">
        <v>1024</v>
      </c>
      <c r="D1682" s="1" t="s">
        <v>1788</v>
      </c>
      <c r="E1682" s="1" t="s">
        <v>2023</v>
      </c>
      <c r="F1682" s="1" t="s">
        <v>2026</v>
      </c>
      <c r="G1682" s="8" t="s">
        <v>1607</v>
      </c>
      <c r="I1682" s="1" t="n">
        <v>1</v>
      </c>
    </row>
    <row r="1683" customFormat="false" ht="15" hidden="false" customHeight="false" outlineLevel="0" collapsed="false">
      <c r="A1683" s="1" t="s">
        <v>2025</v>
      </c>
      <c r="B1683" s="1" t="s">
        <v>1023</v>
      </c>
      <c r="C1683" s="1" t="s">
        <v>2015</v>
      </c>
      <c r="D1683" s="1" t="s">
        <v>1788</v>
      </c>
      <c r="E1683" s="1" t="s">
        <v>2023</v>
      </c>
      <c r="F1683" s="1" t="s">
        <v>2026</v>
      </c>
      <c r="G1683" s="8" t="s">
        <v>1607</v>
      </c>
      <c r="I1683" s="1" t="n">
        <v>0</v>
      </c>
    </row>
    <row r="1684" customFormat="false" ht="15" hidden="false" customHeight="false" outlineLevel="0" collapsed="false">
      <c r="A1684" s="1" t="s">
        <v>2025</v>
      </c>
      <c r="B1684" s="1" t="s">
        <v>1023</v>
      </c>
      <c r="C1684" s="1" t="s">
        <v>2016</v>
      </c>
      <c r="D1684" s="1" t="s">
        <v>1788</v>
      </c>
      <c r="E1684" s="1" t="s">
        <v>2023</v>
      </c>
      <c r="F1684" s="1" t="s">
        <v>2026</v>
      </c>
      <c r="G1684" s="8" t="s">
        <v>1607</v>
      </c>
      <c r="I1684" s="1" t="n">
        <v>0</v>
      </c>
    </row>
    <row r="1685" customFormat="false" ht="15" hidden="false" customHeight="false" outlineLevel="0" collapsed="false">
      <c r="A1685" s="1" t="s">
        <v>2025</v>
      </c>
      <c r="B1685" s="1" t="s">
        <v>1025</v>
      </c>
      <c r="C1685" s="1" t="s">
        <v>1026</v>
      </c>
      <c r="D1685" s="1" t="s">
        <v>1788</v>
      </c>
      <c r="E1685" s="1" t="s">
        <v>2023</v>
      </c>
      <c r="F1685" s="1" t="s">
        <v>2026</v>
      </c>
      <c r="G1685" s="8" t="s">
        <v>1607</v>
      </c>
      <c r="I1685" s="1" t="n">
        <v>0</v>
      </c>
    </row>
    <row r="1686" customFormat="false" ht="15" hidden="false" customHeight="false" outlineLevel="0" collapsed="false">
      <c r="A1686" s="1" t="s">
        <v>2025</v>
      </c>
      <c r="B1686" s="1" t="s">
        <v>1025</v>
      </c>
      <c r="C1686" s="1" t="s">
        <v>2017</v>
      </c>
      <c r="D1686" s="1" t="s">
        <v>1788</v>
      </c>
      <c r="E1686" s="1" t="s">
        <v>2023</v>
      </c>
      <c r="F1686" s="1" t="s">
        <v>2026</v>
      </c>
      <c r="G1686" s="8" t="s">
        <v>1607</v>
      </c>
      <c r="I1686" s="1" t="n">
        <v>0</v>
      </c>
    </row>
    <row r="1687" customFormat="false" ht="15" hidden="false" customHeight="false" outlineLevel="0" collapsed="false">
      <c r="A1687" s="1" t="s">
        <v>2025</v>
      </c>
      <c r="B1687" s="1" t="s">
        <v>1025</v>
      </c>
      <c r="C1687" s="1" t="s">
        <v>2018</v>
      </c>
      <c r="D1687" s="1" t="s">
        <v>1788</v>
      </c>
      <c r="E1687" s="1" t="s">
        <v>2023</v>
      </c>
      <c r="F1687" s="1" t="s">
        <v>2026</v>
      </c>
      <c r="G1687" s="8" t="s">
        <v>1607</v>
      </c>
      <c r="I1687" s="1" t="n">
        <v>0</v>
      </c>
    </row>
    <row r="1688" customFormat="false" ht="15" hidden="false" customHeight="false" outlineLevel="0" collapsed="false">
      <c r="A1688" s="1" t="s">
        <v>2025</v>
      </c>
      <c r="B1688" s="1" t="s">
        <v>1025</v>
      </c>
      <c r="C1688" s="1" t="s">
        <v>2019</v>
      </c>
      <c r="D1688" s="1" t="s">
        <v>1788</v>
      </c>
      <c r="E1688" s="1" t="s">
        <v>2023</v>
      </c>
      <c r="F1688" s="1" t="s">
        <v>2026</v>
      </c>
      <c r="G1688" s="8" t="s">
        <v>1607</v>
      </c>
      <c r="I1688" s="1" t="n">
        <v>0</v>
      </c>
    </row>
    <row r="1689" customFormat="false" ht="15" hidden="false" customHeight="false" outlineLevel="0" collapsed="false">
      <c r="A1689" s="1" t="s">
        <v>2025</v>
      </c>
      <c r="B1689" s="1" t="s">
        <v>1027</v>
      </c>
      <c r="C1689" s="1" t="s">
        <v>1028</v>
      </c>
      <c r="D1689" s="1" t="s">
        <v>1788</v>
      </c>
      <c r="E1689" s="1" t="s">
        <v>2023</v>
      </c>
      <c r="F1689" s="1" t="s">
        <v>2026</v>
      </c>
      <c r="G1689" s="8" t="s">
        <v>1632</v>
      </c>
      <c r="H1689" s="1" t="s">
        <v>1029</v>
      </c>
      <c r="I1689" s="1" t="n">
        <v>7</v>
      </c>
    </row>
    <row r="1690" customFormat="false" ht="15" hidden="false" customHeight="false" outlineLevel="0" collapsed="false">
      <c r="A1690" s="1" t="s">
        <v>2025</v>
      </c>
      <c r="B1690" s="1" t="s">
        <v>1030</v>
      </c>
      <c r="C1690" s="1" t="s">
        <v>1031</v>
      </c>
      <c r="D1690" s="1" t="s">
        <v>1788</v>
      </c>
      <c r="E1690" s="1" t="s">
        <v>2023</v>
      </c>
      <c r="F1690" s="1" t="s">
        <v>2026</v>
      </c>
      <c r="G1690" s="8" t="s">
        <v>1607</v>
      </c>
      <c r="I1690" s="1" t="n">
        <v>0</v>
      </c>
    </row>
    <row r="1691" customFormat="false" ht="15" hidden="false" customHeight="false" outlineLevel="0" collapsed="false">
      <c r="A1691" s="1" t="s">
        <v>2025</v>
      </c>
      <c r="B1691" s="1" t="s">
        <v>1032</v>
      </c>
      <c r="C1691" s="1" t="s">
        <v>1033</v>
      </c>
      <c r="D1691" s="1" t="s">
        <v>1788</v>
      </c>
      <c r="E1691" s="1" t="s">
        <v>2023</v>
      </c>
      <c r="F1691" s="1" t="s">
        <v>2026</v>
      </c>
      <c r="G1691" s="8" t="s">
        <v>1607</v>
      </c>
      <c r="I1691" s="1" t="n">
        <v>0</v>
      </c>
    </row>
    <row r="1692" customFormat="false" ht="15" hidden="false" customHeight="false" outlineLevel="0" collapsed="false">
      <c r="A1692" s="1" t="s">
        <v>2025</v>
      </c>
      <c r="B1692" s="1" t="s">
        <v>1034</v>
      </c>
      <c r="C1692" s="1" t="s">
        <v>1035</v>
      </c>
      <c r="D1692" s="1" t="s">
        <v>1788</v>
      </c>
      <c r="E1692" s="1" t="s">
        <v>2023</v>
      </c>
      <c r="F1692" s="1" t="s">
        <v>2026</v>
      </c>
      <c r="G1692" s="8" t="s">
        <v>1607</v>
      </c>
      <c r="I1692" s="1" t="n">
        <v>0</v>
      </c>
    </row>
    <row r="1693" customFormat="false" ht="15" hidden="false" customHeight="false" outlineLevel="0" collapsed="false">
      <c r="A1693" s="1" t="s">
        <v>2025</v>
      </c>
      <c r="B1693" s="1" t="s">
        <v>1034</v>
      </c>
      <c r="C1693" s="1" t="s">
        <v>2020</v>
      </c>
      <c r="D1693" s="1" t="s">
        <v>1788</v>
      </c>
      <c r="E1693" s="1" t="s">
        <v>2023</v>
      </c>
      <c r="F1693" s="1" t="s">
        <v>2026</v>
      </c>
      <c r="G1693" s="8" t="s">
        <v>1607</v>
      </c>
      <c r="I1693" s="1" t="n">
        <v>0</v>
      </c>
    </row>
    <row r="1694" customFormat="false" ht="15" hidden="false" customHeight="false" outlineLevel="0" collapsed="false">
      <c r="A1694" s="1" t="s">
        <v>2025</v>
      </c>
      <c r="B1694" s="1" t="s">
        <v>1034</v>
      </c>
      <c r="C1694" s="1" t="s">
        <v>2021</v>
      </c>
      <c r="D1694" s="1" t="s">
        <v>1788</v>
      </c>
      <c r="E1694" s="1" t="s">
        <v>2023</v>
      </c>
      <c r="F1694" s="1" t="s">
        <v>2026</v>
      </c>
      <c r="G1694" s="8" t="s">
        <v>1607</v>
      </c>
      <c r="I1694" s="1" t="n">
        <v>0</v>
      </c>
    </row>
    <row r="1695" customFormat="false" ht="15" hidden="false" customHeight="false" outlineLevel="0" collapsed="false">
      <c r="A1695" s="1" t="s">
        <v>2025</v>
      </c>
      <c r="B1695" s="1" t="s">
        <v>1036</v>
      </c>
      <c r="C1695" s="1" t="s">
        <v>1037</v>
      </c>
      <c r="D1695" s="1" t="s">
        <v>1788</v>
      </c>
      <c r="E1695" s="1" t="s">
        <v>2023</v>
      </c>
      <c r="F1695" s="1" t="s">
        <v>2026</v>
      </c>
      <c r="G1695" s="8" t="s">
        <v>1607</v>
      </c>
      <c r="I1695" s="1" t="n">
        <v>0</v>
      </c>
    </row>
    <row r="1696" customFormat="false" ht="15" hidden="false" customHeight="false" outlineLevel="0" collapsed="false">
      <c r="A1696" s="1" t="s">
        <v>2025</v>
      </c>
      <c r="B1696" s="1" t="s">
        <v>1038</v>
      </c>
      <c r="C1696" s="1" t="s">
        <v>1039</v>
      </c>
      <c r="D1696" s="1" t="s">
        <v>1788</v>
      </c>
      <c r="E1696" s="1" t="s">
        <v>2023</v>
      </c>
      <c r="F1696" s="1" t="s">
        <v>2026</v>
      </c>
      <c r="G1696" s="8" t="s">
        <v>1607</v>
      </c>
      <c r="I1696" s="1" t="n">
        <v>0</v>
      </c>
    </row>
    <row r="1697" customFormat="false" ht="15" hidden="false" customHeight="false" outlineLevel="0" collapsed="false">
      <c r="A1697" s="1" t="s">
        <v>2025</v>
      </c>
      <c r="B1697" s="1" t="s">
        <v>1040</v>
      </c>
      <c r="C1697" s="1" t="s">
        <v>1041</v>
      </c>
      <c r="D1697" s="1" t="s">
        <v>1788</v>
      </c>
      <c r="E1697" s="1" t="s">
        <v>2023</v>
      </c>
      <c r="F1697" s="1" t="s">
        <v>2026</v>
      </c>
      <c r="G1697" s="8" t="s">
        <v>1607</v>
      </c>
      <c r="I1697" s="1" t="n">
        <v>0</v>
      </c>
    </row>
    <row r="1698" customFormat="false" ht="15" hidden="false" customHeight="false" outlineLevel="0" collapsed="false">
      <c r="A1698" s="1" t="s">
        <v>2025</v>
      </c>
      <c r="B1698" s="1" t="s">
        <v>1042</v>
      </c>
      <c r="C1698" s="1" t="s">
        <v>1043</v>
      </c>
      <c r="D1698" s="1" t="s">
        <v>1788</v>
      </c>
      <c r="E1698" s="1" t="s">
        <v>2023</v>
      </c>
      <c r="F1698" s="1" t="s">
        <v>2026</v>
      </c>
      <c r="G1698" s="8" t="s">
        <v>1607</v>
      </c>
      <c r="I1698" s="1" t="n">
        <v>0</v>
      </c>
    </row>
    <row r="1699" customFormat="false" ht="15" hidden="false" customHeight="false" outlineLevel="0" collapsed="false">
      <c r="A1699" s="1" t="s">
        <v>2025</v>
      </c>
      <c r="B1699" s="1" t="s">
        <v>1044</v>
      </c>
      <c r="C1699" s="1" t="s">
        <v>1045</v>
      </c>
      <c r="D1699" s="1" t="s">
        <v>1788</v>
      </c>
      <c r="E1699" s="1" t="s">
        <v>2023</v>
      </c>
      <c r="F1699" s="1" t="s">
        <v>2026</v>
      </c>
      <c r="G1699" s="8" t="s">
        <v>1607</v>
      </c>
      <c r="I1699" s="1" t="n">
        <v>0</v>
      </c>
    </row>
  </sheetData>
  <autoFilter ref="A1:I1699"/>
  <dataValidations count="1">
    <dataValidation allowBlank="true" errorStyle="stop" operator="between" showDropDown="false" showErrorMessage="false" showInputMessage="false" sqref="G2:G1806" type="list">
      <formula1>"Pass,Fail,Skipped,Blocked,Not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80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22"/>
  </cols>
  <sheetData>
    <row r="1" customFormat="false" ht="23.25" hidden="false" customHeight="true" outlineLevel="0" collapsed="false">
      <c r="A1" s="5" t="s">
        <v>1601</v>
      </c>
      <c r="B1" s="5" t="s">
        <v>15</v>
      </c>
      <c r="C1" s="5" t="s">
        <v>2027</v>
      </c>
      <c r="D1" s="5" t="s">
        <v>2028</v>
      </c>
      <c r="E1" s="5" t="s">
        <v>2029</v>
      </c>
      <c r="F1" s="5" t="s">
        <v>2030</v>
      </c>
      <c r="G1" s="5" t="s">
        <v>2031</v>
      </c>
      <c r="H1" s="5" t="s">
        <v>2032</v>
      </c>
      <c r="I1" s="5" t="s">
        <v>2033</v>
      </c>
      <c r="J1" s="5" t="s">
        <v>2034</v>
      </c>
      <c r="K1" s="5" t="s">
        <v>2035</v>
      </c>
    </row>
    <row r="2" customFormat="false" ht="15" hidden="false" customHeight="true" outlineLevel="0" collapsed="false">
      <c r="A2" s="6" t="s">
        <v>1335</v>
      </c>
      <c r="B2" s="6" t="s">
        <v>2036</v>
      </c>
      <c r="C2" s="6" t="s">
        <v>2037</v>
      </c>
      <c r="D2" s="6" t="s">
        <v>2038</v>
      </c>
      <c r="E2" s="6" t="s">
        <v>2039</v>
      </c>
      <c r="F2" s="6" t="s">
        <v>1333</v>
      </c>
      <c r="G2" s="6" t="s">
        <v>2040</v>
      </c>
      <c r="H2" s="6" t="s">
        <v>2041</v>
      </c>
      <c r="I2" s="6" t="s">
        <v>1605</v>
      </c>
      <c r="J2" s="6" t="s">
        <v>1603</v>
      </c>
      <c r="K2" s="6" t="s">
        <v>2042</v>
      </c>
    </row>
    <row r="3" customFormat="false" ht="23.25" hidden="false" customHeight="true" outlineLevel="0" collapsed="false">
      <c r="A3" s="6" t="s">
        <v>1066</v>
      </c>
      <c r="B3" s="6" t="s">
        <v>2043</v>
      </c>
      <c r="C3" s="6" t="s">
        <v>2037</v>
      </c>
      <c r="D3" s="6" t="s">
        <v>2044</v>
      </c>
      <c r="E3" s="6" t="s">
        <v>2045</v>
      </c>
      <c r="F3" s="6" t="s">
        <v>1064</v>
      </c>
      <c r="G3" s="6" t="s">
        <v>2046</v>
      </c>
      <c r="H3" s="6" t="s">
        <v>2041</v>
      </c>
      <c r="I3" s="6" t="s">
        <v>1605</v>
      </c>
      <c r="J3" s="6" t="s">
        <v>1603</v>
      </c>
      <c r="K3" s="6" t="s">
        <v>2047</v>
      </c>
    </row>
    <row r="4" customFormat="false" ht="23.25" hidden="false" customHeight="true" outlineLevel="0" collapsed="false">
      <c r="A4" s="6" t="s">
        <v>876</v>
      </c>
      <c r="B4" s="6" t="s">
        <v>2048</v>
      </c>
      <c r="C4" s="6" t="s">
        <v>2049</v>
      </c>
      <c r="D4" s="6" t="s">
        <v>2050</v>
      </c>
      <c r="E4" s="6" t="s">
        <v>2051</v>
      </c>
      <c r="F4" s="6" t="s">
        <v>874</v>
      </c>
      <c r="G4" s="6" t="s">
        <v>2052</v>
      </c>
      <c r="H4" s="6" t="s">
        <v>2041</v>
      </c>
      <c r="I4" s="6" t="s">
        <v>1605</v>
      </c>
      <c r="J4" s="6" t="s">
        <v>1603</v>
      </c>
      <c r="K4" s="6" t="s">
        <v>2053</v>
      </c>
    </row>
    <row r="5" customFormat="false" ht="23.25" hidden="false" customHeight="true" outlineLevel="0" collapsed="false">
      <c r="A5" s="6" t="s">
        <v>960</v>
      </c>
      <c r="B5" s="6" t="s">
        <v>2054</v>
      </c>
      <c r="C5" s="6" t="s">
        <v>2049</v>
      </c>
      <c r="D5" s="6" t="s">
        <v>2050</v>
      </c>
      <c r="E5" s="6" t="s">
        <v>2055</v>
      </c>
      <c r="F5" s="6" t="s">
        <v>958</v>
      </c>
      <c r="G5" s="6" t="s">
        <v>2056</v>
      </c>
      <c r="H5" s="6" t="s">
        <v>2041</v>
      </c>
      <c r="I5" s="6" t="s">
        <v>1605</v>
      </c>
      <c r="J5" s="6" t="s">
        <v>1603</v>
      </c>
      <c r="K5" s="6" t="s">
        <v>2057</v>
      </c>
    </row>
    <row r="6" customFormat="false" ht="34.5" hidden="false" customHeight="true" outlineLevel="0" collapsed="false">
      <c r="A6" s="6" t="s">
        <v>663</v>
      </c>
      <c r="B6" s="6" t="s">
        <v>2058</v>
      </c>
      <c r="C6" s="6" t="s">
        <v>2059</v>
      </c>
      <c r="D6" s="6" t="s">
        <v>2060</v>
      </c>
      <c r="E6" s="6" t="s">
        <v>2061</v>
      </c>
      <c r="F6" s="6" t="s">
        <v>2062</v>
      </c>
      <c r="G6" s="6" t="s">
        <v>2063</v>
      </c>
      <c r="H6" s="6" t="s">
        <v>2041</v>
      </c>
      <c r="I6" s="6" t="s">
        <v>1605</v>
      </c>
      <c r="J6" s="6" t="s">
        <v>1603</v>
      </c>
      <c r="K6" s="6" t="s">
        <v>2064</v>
      </c>
    </row>
    <row r="7" customFormat="false" ht="23.25" hidden="false" customHeight="true" outlineLevel="0" collapsed="false">
      <c r="A7" s="6" t="s">
        <v>1227</v>
      </c>
      <c r="B7" s="6" t="s">
        <v>2065</v>
      </c>
      <c r="C7" s="6" t="s">
        <v>2049</v>
      </c>
      <c r="D7" s="6" t="s">
        <v>2050</v>
      </c>
      <c r="E7" s="6" t="s">
        <v>2066</v>
      </c>
      <c r="F7" s="6" t="s">
        <v>1225</v>
      </c>
      <c r="G7" s="6" t="s">
        <v>2067</v>
      </c>
      <c r="H7" s="6" t="s">
        <v>2041</v>
      </c>
      <c r="I7" s="6" t="s">
        <v>1605</v>
      </c>
      <c r="J7" s="6" t="s">
        <v>1603</v>
      </c>
      <c r="K7" s="6" t="s">
        <v>2068</v>
      </c>
    </row>
    <row r="8" customFormat="false" ht="23.25" hidden="false" customHeight="true" outlineLevel="0" collapsed="false">
      <c r="A8" s="6" t="s">
        <v>1264</v>
      </c>
      <c r="B8" s="6" t="s">
        <v>2069</v>
      </c>
      <c r="C8" s="6" t="s">
        <v>2049</v>
      </c>
      <c r="D8" s="6" t="s">
        <v>2050</v>
      </c>
      <c r="E8" s="6" t="s">
        <v>2070</v>
      </c>
      <c r="F8" s="6" t="s">
        <v>1262</v>
      </c>
      <c r="G8" s="6" t="s">
        <v>2071</v>
      </c>
      <c r="H8" s="6" t="s">
        <v>2041</v>
      </c>
      <c r="I8" s="6" t="s">
        <v>1605</v>
      </c>
      <c r="J8" s="6" t="s">
        <v>1603</v>
      </c>
      <c r="K8" s="6" t="s">
        <v>2072</v>
      </c>
    </row>
    <row r="9" customFormat="false" ht="34.5" hidden="false" customHeight="true" outlineLevel="0" collapsed="false">
      <c r="A9" s="6" t="s">
        <v>1238</v>
      </c>
      <c r="B9" s="6" t="s">
        <v>2073</v>
      </c>
      <c r="C9" s="6" t="s">
        <v>2059</v>
      </c>
      <c r="D9" s="6" t="s">
        <v>2074</v>
      </c>
      <c r="E9" s="6" t="s">
        <v>2070</v>
      </c>
      <c r="F9" s="6" t="s">
        <v>523</v>
      </c>
      <c r="G9" s="6" t="s">
        <v>2075</v>
      </c>
      <c r="H9" s="6" t="s">
        <v>2041</v>
      </c>
      <c r="I9" s="6" t="s">
        <v>1605</v>
      </c>
      <c r="J9" s="6" t="s">
        <v>1603</v>
      </c>
      <c r="K9" s="6" t="s">
        <v>2076</v>
      </c>
    </row>
    <row r="10" customFormat="false" ht="23.25" hidden="false" customHeight="true" outlineLevel="0" collapsed="false">
      <c r="A10" s="6" t="s">
        <v>830</v>
      </c>
      <c r="B10" s="6" t="s">
        <v>2077</v>
      </c>
      <c r="C10" s="6" t="s">
        <v>2049</v>
      </c>
      <c r="D10" s="6" t="s">
        <v>2050</v>
      </c>
      <c r="E10" s="6" t="s">
        <v>2078</v>
      </c>
      <c r="F10" s="6" t="s">
        <v>2079</v>
      </c>
      <c r="G10" s="6" t="s">
        <v>2080</v>
      </c>
      <c r="H10" s="6" t="s">
        <v>2041</v>
      </c>
      <c r="I10" s="6" t="s">
        <v>1605</v>
      </c>
      <c r="J10" s="6" t="s">
        <v>1603</v>
      </c>
      <c r="K10" s="6" t="s">
        <v>2081</v>
      </c>
    </row>
    <row r="11" customFormat="false" ht="23.25" hidden="false" customHeight="true" outlineLevel="0" collapsed="false">
      <c r="A11" s="6" t="s">
        <v>894</v>
      </c>
      <c r="B11" s="6" t="s">
        <v>2082</v>
      </c>
      <c r="C11" s="6" t="s">
        <v>2049</v>
      </c>
      <c r="D11" s="6" t="s">
        <v>2050</v>
      </c>
      <c r="E11" s="6" t="s">
        <v>2083</v>
      </c>
      <c r="F11" s="6" t="s">
        <v>892</v>
      </c>
      <c r="G11" s="6" t="s">
        <v>2084</v>
      </c>
      <c r="H11" s="6" t="s">
        <v>2041</v>
      </c>
      <c r="I11" s="6" t="s">
        <v>1605</v>
      </c>
      <c r="J11" s="6" t="s">
        <v>1603</v>
      </c>
      <c r="K11" s="6" t="s">
        <v>2085</v>
      </c>
    </row>
    <row r="12" customFormat="false" ht="34.5" hidden="false" customHeight="true" outlineLevel="0" collapsed="false">
      <c r="A12" s="6" t="s">
        <v>897</v>
      </c>
      <c r="B12" s="6" t="s">
        <v>2086</v>
      </c>
      <c r="C12" s="6" t="s">
        <v>2049</v>
      </c>
      <c r="D12" s="6" t="s">
        <v>2050</v>
      </c>
      <c r="E12" s="6" t="s">
        <v>2087</v>
      </c>
      <c r="F12" s="6" t="s">
        <v>2088</v>
      </c>
      <c r="G12" s="6" t="s">
        <v>2089</v>
      </c>
      <c r="H12" s="6" t="s">
        <v>2041</v>
      </c>
      <c r="I12" s="6" t="s">
        <v>1605</v>
      </c>
      <c r="J12" s="6" t="s">
        <v>1603</v>
      </c>
      <c r="K12" s="6" t="s">
        <v>2090</v>
      </c>
    </row>
    <row r="13" customFormat="false" ht="23.25" hidden="false" customHeight="true" outlineLevel="0" collapsed="false">
      <c r="A13" s="6" t="s">
        <v>2091</v>
      </c>
      <c r="B13" s="6" t="s">
        <v>2092</v>
      </c>
      <c r="C13" s="6" t="s">
        <v>2093</v>
      </c>
      <c r="D13" s="6" t="s">
        <v>2094</v>
      </c>
      <c r="E13" s="6" t="s">
        <v>2093</v>
      </c>
      <c r="F13" s="6" t="s">
        <v>2093</v>
      </c>
      <c r="G13" s="6" t="s">
        <v>2095</v>
      </c>
      <c r="H13" s="6" t="s">
        <v>2041</v>
      </c>
      <c r="I13" s="6" t="s">
        <v>1605</v>
      </c>
      <c r="J13" s="6" t="s">
        <v>1603</v>
      </c>
      <c r="K13" s="6"/>
    </row>
    <row r="14" customFormat="false" ht="34.5" hidden="false" customHeight="true" outlineLevel="0" collapsed="false">
      <c r="A14" s="6" t="s">
        <v>1122</v>
      </c>
      <c r="B14" s="6" t="s">
        <v>2096</v>
      </c>
      <c r="C14" s="6" t="s">
        <v>2049</v>
      </c>
      <c r="D14" s="6" t="s">
        <v>2050</v>
      </c>
      <c r="E14" s="6" t="s">
        <v>2097</v>
      </c>
      <c r="F14" s="6" t="s">
        <v>2098</v>
      </c>
      <c r="G14" s="6" t="s">
        <v>2099</v>
      </c>
      <c r="H14" s="6" t="s">
        <v>2041</v>
      </c>
      <c r="I14" s="6" t="s">
        <v>1605</v>
      </c>
      <c r="J14" s="6" t="s">
        <v>1603</v>
      </c>
      <c r="K14" s="6" t="s">
        <v>2100</v>
      </c>
    </row>
    <row r="15" customFormat="false" ht="23.25" hidden="false" customHeight="true" outlineLevel="0" collapsed="false">
      <c r="A15" s="6" t="s">
        <v>1383</v>
      </c>
      <c r="B15" s="6" t="s">
        <v>2101</v>
      </c>
      <c r="C15" s="6" t="s">
        <v>2049</v>
      </c>
      <c r="D15" s="6" t="s">
        <v>2050</v>
      </c>
      <c r="E15" s="6" t="s">
        <v>2102</v>
      </c>
      <c r="F15" s="6" t="s">
        <v>1381</v>
      </c>
      <c r="G15" s="6" t="s">
        <v>2103</v>
      </c>
      <c r="H15" s="6" t="s">
        <v>2041</v>
      </c>
      <c r="I15" s="6" t="s">
        <v>1605</v>
      </c>
      <c r="J15" s="6" t="s">
        <v>1603</v>
      </c>
      <c r="K15" s="6" t="s">
        <v>2104</v>
      </c>
    </row>
    <row r="16" customFormat="false" ht="23.25" hidden="false" customHeight="true" outlineLevel="0" collapsed="false">
      <c r="A16" s="6" t="s">
        <v>1326</v>
      </c>
      <c r="B16" s="6" t="s">
        <v>2105</v>
      </c>
      <c r="C16" s="6" t="s">
        <v>2049</v>
      </c>
      <c r="D16" s="6" t="s">
        <v>2050</v>
      </c>
      <c r="E16" s="6" t="s">
        <v>2106</v>
      </c>
      <c r="F16" s="6" t="s">
        <v>1324</v>
      </c>
      <c r="G16" s="6" t="s">
        <v>2107</v>
      </c>
      <c r="H16" s="6" t="s">
        <v>2041</v>
      </c>
      <c r="I16" s="6" t="s">
        <v>1605</v>
      </c>
      <c r="J16" s="6" t="s">
        <v>1603</v>
      </c>
      <c r="K16" s="6" t="s">
        <v>2108</v>
      </c>
    </row>
    <row r="17" customFormat="false" ht="34.5" hidden="false" customHeight="true" outlineLevel="0" collapsed="false">
      <c r="A17" s="6" t="s">
        <v>1398</v>
      </c>
      <c r="B17" s="6" t="s">
        <v>2109</v>
      </c>
      <c r="C17" s="6" t="s">
        <v>2049</v>
      </c>
      <c r="D17" s="6" t="s">
        <v>2050</v>
      </c>
      <c r="E17" s="6" t="s">
        <v>2110</v>
      </c>
      <c r="F17" s="6" t="s">
        <v>2111</v>
      </c>
      <c r="G17" s="6" t="s">
        <v>2112</v>
      </c>
      <c r="H17" s="6" t="s">
        <v>2041</v>
      </c>
      <c r="I17" s="6" t="s">
        <v>1605</v>
      </c>
      <c r="J17" s="6" t="s">
        <v>1603</v>
      </c>
      <c r="K17" s="6" t="s">
        <v>2113</v>
      </c>
    </row>
    <row r="18" customFormat="false" ht="23.25" hidden="false" customHeight="true" outlineLevel="0" collapsed="false">
      <c r="A18" s="6" t="s">
        <v>1289</v>
      </c>
      <c r="B18" s="6" t="s">
        <v>2114</v>
      </c>
      <c r="C18" s="6" t="s">
        <v>2037</v>
      </c>
      <c r="D18" s="6" t="s">
        <v>2038</v>
      </c>
      <c r="E18" s="6" t="s">
        <v>2066</v>
      </c>
      <c r="F18" s="6" t="s">
        <v>1287</v>
      </c>
      <c r="G18" s="6" t="s">
        <v>2115</v>
      </c>
      <c r="H18" s="6" t="s">
        <v>2041</v>
      </c>
      <c r="I18" s="6" t="s">
        <v>1605</v>
      </c>
      <c r="J18" s="6" t="s">
        <v>1603</v>
      </c>
      <c r="K18" s="6" t="s">
        <v>2116</v>
      </c>
    </row>
    <row r="19" customFormat="false" ht="23.25" hidden="false" customHeight="true" outlineLevel="0" collapsed="false">
      <c r="A19" s="6" t="s">
        <v>1502</v>
      </c>
      <c r="B19" s="6" t="s">
        <v>2117</v>
      </c>
      <c r="C19" s="6" t="s">
        <v>2049</v>
      </c>
      <c r="D19" s="6" t="s">
        <v>2118</v>
      </c>
      <c r="E19" s="6" t="s">
        <v>1788</v>
      </c>
      <c r="F19" s="6" t="s">
        <v>2119</v>
      </c>
      <c r="G19" s="6" t="s">
        <v>2120</v>
      </c>
      <c r="H19" s="6" t="s">
        <v>2041</v>
      </c>
      <c r="I19" s="6" t="s">
        <v>1605</v>
      </c>
      <c r="J19" s="6" t="s">
        <v>1603</v>
      </c>
      <c r="K19" s="6" t="s">
        <v>2121</v>
      </c>
    </row>
    <row r="20" customFormat="false" ht="34.5" hidden="false" customHeight="true" outlineLevel="0" collapsed="false">
      <c r="A20" s="6" t="s">
        <v>800</v>
      </c>
      <c r="B20" s="6" t="s">
        <v>2122</v>
      </c>
      <c r="C20" s="6" t="s">
        <v>2059</v>
      </c>
      <c r="D20" s="6" t="s">
        <v>2118</v>
      </c>
      <c r="E20" s="6" t="s">
        <v>2123</v>
      </c>
      <c r="F20" s="6" t="s">
        <v>2124</v>
      </c>
      <c r="G20" s="6" t="s">
        <v>2125</v>
      </c>
      <c r="H20" s="6" t="s">
        <v>2041</v>
      </c>
      <c r="I20" s="6" t="s">
        <v>1605</v>
      </c>
      <c r="J20" s="6" t="s">
        <v>1603</v>
      </c>
      <c r="K20" s="6" t="s">
        <v>2126</v>
      </c>
    </row>
    <row r="21" customFormat="false" ht="23.25" hidden="false" customHeight="true" outlineLevel="0" collapsed="false">
      <c r="A21" s="6" t="s">
        <v>1029</v>
      </c>
      <c r="B21" s="6" t="s">
        <v>2127</v>
      </c>
      <c r="C21" s="6" t="s">
        <v>2037</v>
      </c>
      <c r="D21" s="6" t="s">
        <v>2038</v>
      </c>
      <c r="E21" s="6" t="s">
        <v>2128</v>
      </c>
      <c r="F21" s="6" t="s">
        <v>1027</v>
      </c>
      <c r="G21" s="6" t="s">
        <v>2129</v>
      </c>
      <c r="H21" s="6" t="s">
        <v>2041</v>
      </c>
      <c r="I21" s="6" t="s">
        <v>1605</v>
      </c>
      <c r="J21" s="6" t="s">
        <v>1603</v>
      </c>
      <c r="K21" s="6" t="s">
        <v>2130</v>
      </c>
    </row>
    <row r="22" customFormat="false" ht="34.5" hidden="false" customHeight="true" outlineLevel="0" collapsed="false">
      <c r="A22" s="6" t="s">
        <v>2131</v>
      </c>
      <c r="B22" s="6" t="s">
        <v>2132</v>
      </c>
      <c r="C22" s="6" t="s">
        <v>2049</v>
      </c>
      <c r="D22" s="6" t="s">
        <v>2133</v>
      </c>
      <c r="E22" s="6" t="s">
        <v>2134</v>
      </c>
      <c r="F22" s="6" t="s">
        <v>2135</v>
      </c>
      <c r="G22" s="6" t="s">
        <v>2136</v>
      </c>
      <c r="H22" s="6" t="s">
        <v>2041</v>
      </c>
      <c r="I22" s="6" t="s">
        <v>1605</v>
      </c>
      <c r="J22" s="6" t="s">
        <v>1603</v>
      </c>
      <c r="K22" s="6"/>
    </row>
    <row r="23" customFormat="false" ht="23.25" hidden="false" customHeight="true" outlineLevel="0" collapsed="false">
      <c r="A23" s="6" t="s">
        <v>1511</v>
      </c>
      <c r="B23" s="6" t="s">
        <v>2137</v>
      </c>
      <c r="C23" s="6" t="s">
        <v>2037</v>
      </c>
      <c r="D23" s="6" t="s">
        <v>2118</v>
      </c>
      <c r="E23" s="6" t="s">
        <v>2138</v>
      </c>
      <c r="F23" s="6" t="s">
        <v>2139</v>
      </c>
      <c r="G23" s="6" t="s">
        <v>2140</v>
      </c>
      <c r="H23" s="6" t="s">
        <v>2041</v>
      </c>
      <c r="I23" s="6" t="s">
        <v>1605</v>
      </c>
      <c r="J23" s="6" t="s">
        <v>1603</v>
      </c>
      <c r="K23" s="6" t="s">
        <v>2141</v>
      </c>
    </row>
    <row r="24" customFormat="false" ht="57.45" hidden="false" customHeight="false" outlineLevel="0" collapsed="false">
      <c r="A24" s="6" t="s">
        <v>2142</v>
      </c>
      <c r="B24" s="6" t="s">
        <v>2143</v>
      </c>
      <c r="C24" s="6"/>
      <c r="D24" s="6"/>
      <c r="E24" s="6"/>
      <c r="F24" s="6" t="s">
        <v>2144</v>
      </c>
      <c r="G24" s="6" t="s">
        <v>2145</v>
      </c>
      <c r="H24" s="6" t="s">
        <v>2041</v>
      </c>
      <c r="I24" s="6" t="s">
        <v>2146</v>
      </c>
      <c r="J24" s="6" t="s">
        <v>2147</v>
      </c>
      <c r="K24" s="6"/>
    </row>
    <row r="25" customFormat="false" ht="35.05" hidden="false" customHeight="false" outlineLevel="0" collapsed="false">
      <c r="A25" s="6" t="s">
        <v>2148</v>
      </c>
      <c r="B25" s="6" t="s">
        <v>2149</v>
      </c>
      <c r="C25" s="6"/>
      <c r="D25" s="6"/>
      <c r="E25" s="6"/>
      <c r="F25" s="6" t="s">
        <v>2150</v>
      </c>
      <c r="G25" s="6" t="s">
        <v>2151</v>
      </c>
      <c r="H25" s="6" t="s">
        <v>2041</v>
      </c>
      <c r="I25" s="6" t="s">
        <v>2146</v>
      </c>
      <c r="J25" s="6" t="s">
        <v>2147</v>
      </c>
      <c r="K25" s="6"/>
    </row>
    <row r="26" customFormat="false" ht="35.05" hidden="false" customHeight="false" outlineLevel="0" collapsed="false">
      <c r="A26" s="6" t="s">
        <v>2152</v>
      </c>
      <c r="B26" s="6" t="s">
        <v>2153</v>
      </c>
      <c r="C26" s="6"/>
      <c r="D26" s="6"/>
      <c r="E26" s="6"/>
      <c r="F26" s="6" t="s">
        <v>2154</v>
      </c>
      <c r="G26" s="6" t="s">
        <v>2155</v>
      </c>
      <c r="H26" s="6" t="s">
        <v>2041</v>
      </c>
      <c r="I26" s="6" t="s">
        <v>2146</v>
      </c>
      <c r="J26" s="6" t="s">
        <v>2147</v>
      </c>
      <c r="K26" s="6"/>
    </row>
    <row r="27" customFormat="false" ht="35.05" hidden="false" customHeight="false" outlineLevel="0" collapsed="false">
      <c r="A27" s="6" t="s">
        <v>2156</v>
      </c>
      <c r="B27" s="6" t="s">
        <v>2157</v>
      </c>
      <c r="C27" s="6"/>
      <c r="D27" s="6"/>
      <c r="E27" s="6"/>
      <c r="F27" s="6" t="s">
        <v>2158</v>
      </c>
      <c r="G27" s="6" t="s">
        <v>2159</v>
      </c>
      <c r="H27" s="6" t="s">
        <v>2041</v>
      </c>
      <c r="I27" s="6" t="s">
        <v>2146</v>
      </c>
      <c r="J27" s="6" t="s">
        <v>2147</v>
      </c>
      <c r="K27" s="6"/>
    </row>
    <row r="28" customFormat="false" ht="57.45" hidden="false" customHeight="false" outlineLevel="0" collapsed="false">
      <c r="A28" s="6" t="s">
        <v>2160</v>
      </c>
      <c r="B28" s="6" t="s">
        <v>2161</v>
      </c>
      <c r="C28" s="6"/>
      <c r="D28" s="6"/>
      <c r="E28" s="6"/>
      <c r="F28" s="6" t="s">
        <v>2162</v>
      </c>
      <c r="G28" s="6" t="s">
        <v>2163</v>
      </c>
      <c r="H28" s="6" t="s">
        <v>2041</v>
      </c>
      <c r="I28" s="6" t="s">
        <v>2146</v>
      </c>
      <c r="J28" s="6" t="s">
        <v>2147</v>
      </c>
      <c r="K28" s="6"/>
    </row>
    <row r="29" customFormat="false" ht="35.05" hidden="false" customHeight="false" outlineLevel="0" collapsed="false">
      <c r="A29" s="6" t="s">
        <v>2164</v>
      </c>
      <c r="B29" s="6" t="s">
        <v>2165</v>
      </c>
      <c r="C29" s="6"/>
      <c r="D29" s="6"/>
      <c r="E29" s="6"/>
      <c r="F29" s="6" t="s">
        <v>2166</v>
      </c>
      <c r="G29" s="6" t="s">
        <v>2167</v>
      </c>
      <c r="H29" s="6" t="s">
        <v>2041</v>
      </c>
      <c r="I29" s="6" t="s">
        <v>2146</v>
      </c>
      <c r="J29" s="6" t="s">
        <v>2147</v>
      </c>
      <c r="K29" s="6"/>
    </row>
    <row r="30" customFormat="false" ht="79.85" hidden="false" customHeight="false" outlineLevel="0" collapsed="false">
      <c r="A30" s="6" t="s">
        <v>2168</v>
      </c>
      <c r="B30" s="6" t="s">
        <v>2169</v>
      </c>
      <c r="C30" s="6"/>
      <c r="D30" s="6"/>
      <c r="E30" s="6"/>
      <c r="F30" s="6" t="s">
        <v>2170</v>
      </c>
      <c r="G30" s="6" t="s">
        <v>2171</v>
      </c>
      <c r="H30" s="6" t="s">
        <v>2041</v>
      </c>
      <c r="I30" s="6" t="s">
        <v>2146</v>
      </c>
      <c r="J30" s="6" t="s">
        <v>2147</v>
      </c>
      <c r="K30" s="6"/>
    </row>
    <row r="31" customFormat="false" ht="46.25" hidden="false" customHeight="false" outlineLevel="0" collapsed="false">
      <c r="A31" s="6" t="s">
        <v>2172</v>
      </c>
      <c r="B31" s="6" t="s">
        <v>2173</v>
      </c>
      <c r="C31" s="6"/>
      <c r="D31" s="6"/>
      <c r="E31" s="6"/>
      <c r="F31" s="6" t="s">
        <v>2174</v>
      </c>
      <c r="G31" s="6" t="s">
        <v>2175</v>
      </c>
      <c r="H31" s="6" t="s">
        <v>2041</v>
      </c>
      <c r="I31" s="6" t="s">
        <v>2146</v>
      </c>
      <c r="J31" s="6" t="s">
        <v>2147</v>
      </c>
      <c r="K31" s="6"/>
    </row>
    <row r="32" customFormat="false" ht="35.05" hidden="false" customHeight="false" outlineLevel="0" collapsed="false">
      <c r="A32" s="6" t="s">
        <v>2176</v>
      </c>
      <c r="B32" s="6" t="s">
        <v>2177</v>
      </c>
      <c r="C32" s="6"/>
      <c r="D32" s="6"/>
      <c r="E32" s="6"/>
      <c r="F32" s="6" t="s">
        <v>2178</v>
      </c>
      <c r="G32" s="6" t="s">
        <v>2179</v>
      </c>
      <c r="H32" s="6" t="s">
        <v>2041</v>
      </c>
      <c r="I32" s="6" t="s">
        <v>2146</v>
      </c>
      <c r="J32" s="6" t="s">
        <v>2147</v>
      </c>
      <c r="K32" s="6"/>
    </row>
    <row r="33" customFormat="false" ht="46.25" hidden="false" customHeight="false" outlineLevel="0" collapsed="false">
      <c r="A33" s="6" t="s">
        <v>2180</v>
      </c>
      <c r="B33" s="6" t="s">
        <v>2181</v>
      </c>
      <c r="C33" s="6"/>
      <c r="D33" s="6"/>
      <c r="E33" s="6"/>
      <c r="F33" s="6" t="s">
        <v>2182</v>
      </c>
      <c r="G33" s="6" t="s">
        <v>2183</v>
      </c>
      <c r="H33" s="6" t="s">
        <v>2041</v>
      </c>
      <c r="I33" s="6" t="s">
        <v>2146</v>
      </c>
      <c r="J33" s="6" t="s">
        <v>2147</v>
      </c>
      <c r="K33" s="6"/>
    </row>
    <row r="34" customFormat="false" ht="35.05" hidden="false" customHeight="false" outlineLevel="0" collapsed="false">
      <c r="A34" s="6" t="s">
        <v>2184</v>
      </c>
      <c r="B34" s="6" t="s">
        <v>2185</v>
      </c>
      <c r="C34" s="6"/>
      <c r="D34" s="6"/>
      <c r="E34" s="6"/>
      <c r="F34" s="6" t="s">
        <v>2186</v>
      </c>
      <c r="G34" s="6" t="s">
        <v>2187</v>
      </c>
      <c r="H34" s="6" t="s">
        <v>2041</v>
      </c>
      <c r="I34" s="6" t="s">
        <v>2146</v>
      </c>
      <c r="J34" s="6" t="s">
        <v>2147</v>
      </c>
      <c r="K34" s="6"/>
    </row>
    <row r="35" customFormat="false" ht="35.05" hidden="false" customHeight="false" outlineLevel="0" collapsed="false">
      <c r="A35" s="6" t="s">
        <v>2188</v>
      </c>
      <c r="B35" s="6" t="s">
        <v>2189</v>
      </c>
      <c r="C35" s="6"/>
      <c r="D35" s="6"/>
      <c r="E35" s="6"/>
      <c r="F35" s="6" t="s">
        <v>2190</v>
      </c>
      <c r="G35" s="6" t="s">
        <v>2191</v>
      </c>
      <c r="H35" s="6" t="s">
        <v>2041</v>
      </c>
      <c r="I35" s="6" t="s">
        <v>2146</v>
      </c>
      <c r="J35" s="6" t="s">
        <v>2147</v>
      </c>
      <c r="K35" s="6"/>
    </row>
    <row r="36" customFormat="false" ht="35.05" hidden="false" customHeight="false" outlineLevel="0" collapsed="false">
      <c r="A36" s="6" t="s">
        <v>2192</v>
      </c>
      <c r="B36" s="6" t="s">
        <v>2193</v>
      </c>
      <c r="C36" s="6"/>
      <c r="D36" s="6"/>
      <c r="E36" s="6"/>
      <c r="F36" s="6" t="s">
        <v>2194</v>
      </c>
      <c r="G36" s="6" t="s">
        <v>2195</v>
      </c>
      <c r="H36" s="6" t="s">
        <v>2041</v>
      </c>
      <c r="I36" s="6" t="s">
        <v>2146</v>
      </c>
      <c r="J36" s="6" t="s">
        <v>2147</v>
      </c>
      <c r="K36" s="6"/>
    </row>
    <row r="37" customFormat="false" ht="35.05" hidden="false" customHeight="false" outlineLevel="0" collapsed="false">
      <c r="A37" s="6" t="s">
        <v>2196</v>
      </c>
      <c r="B37" s="6" t="s">
        <v>2197</v>
      </c>
      <c r="C37" s="6"/>
      <c r="D37" s="6"/>
      <c r="E37" s="6"/>
      <c r="F37" s="6" t="s">
        <v>2198</v>
      </c>
      <c r="G37" s="6" t="s">
        <v>2199</v>
      </c>
      <c r="H37" s="6" t="s">
        <v>2041</v>
      </c>
      <c r="I37" s="6" t="s">
        <v>2146</v>
      </c>
      <c r="J37" s="6" t="s">
        <v>2147</v>
      </c>
      <c r="K37" s="6"/>
    </row>
    <row r="38" customFormat="false" ht="46.25" hidden="false" customHeight="false" outlineLevel="0" collapsed="false">
      <c r="A38" s="6" t="s">
        <v>2200</v>
      </c>
      <c r="B38" s="6" t="s">
        <v>2201</v>
      </c>
      <c r="C38" s="6" t="s">
        <v>2049</v>
      </c>
      <c r="D38" s="6" t="s">
        <v>2202</v>
      </c>
      <c r="E38" s="6"/>
      <c r="F38" s="6" t="s">
        <v>2203</v>
      </c>
      <c r="G38" s="6" t="s">
        <v>2204</v>
      </c>
      <c r="H38" s="6" t="s">
        <v>2041</v>
      </c>
      <c r="I38" s="6" t="s">
        <v>2205</v>
      </c>
      <c r="J38" s="6" t="s">
        <v>2147</v>
      </c>
      <c r="K38" s="6"/>
    </row>
    <row r="39" customFormat="false" ht="46.25" hidden="false" customHeight="false" outlineLevel="0" collapsed="false">
      <c r="A39" s="6" t="s">
        <v>2206</v>
      </c>
      <c r="B39" s="6" t="s">
        <v>2207</v>
      </c>
      <c r="C39" s="6" t="s">
        <v>2049</v>
      </c>
      <c r="D39" s="6" t="s">
        <v>2202</v>
      </c>
      <c r="E39" s="6"/>
      <c r="F39" s="6" t="s">
        <v>2208</v>
      </c>
      <c r="G39" s="6" t="s">
        <v>2209</v>
      </c>
      <c r="H39" s="6" t="s">
        <v>2041</v>
      </c>
      <c r="I39" s="6" t="s">
        <v>2205</v>
      </c>
      <c r="J39" s="6" t="s">
        <v>2147</v>
      </c>
      <c r="K39" s="6"/>
    </row>
    <row r="40" customFormat="false" ht="57.45" hidden="false" customHeight="false" outlineLevel="0" collapsed="false">
      <c r="A40" s="6" t="s">
        <v>2210</v>
      </c>
      <c r="B40" s="6" t="s">
        <v>2211</v>
      </c>
      <c r="C40" s="6" t="s">
        <v>2049</v>
      </c>
      <c r="D40" s="6" t="s">
        <v>2202</v>
      </c>
      <c r="E40" s="6"/>
      <c r="F40" s="6" t="s">
        <v>2212</v>
      </c>
      <c r="G40" s="6" t="s">
        <v>2213</v>
      </c>
      <c r="H40" s="6" t="s">
        <v>2041</v>
      </c>
      <c r="I40" s="6" t="s">
        <v>2205</v>
      </c>
      <c r="J40" s="6" t="s">
        <v>2147</v>
      </c>
      <c r="K40" s="6"/>
    </row>
    <row r="41" customFormat="false" ht="57.45" hidden="false" customHeight="false" outlineLevel="0" collapsed="false">
      <c r="A41" s="6" t="s">
        <v>2214</v>
      </c>
      <c r="B41" s="6" t="s">
        <v>2215</v>
      </c>
      <c r="C41" s="6" t="s">
        <v>2049</v>
      </c>
      <c r="D41" s="6" t="s">
        <v>2202</v>
      </c>
      <c r="E41" s="6"/>
      <c r="F41" s="6" t="s">
        <v>2216</v>
      </c>
      <c r="G41" s="6" t="s">
        <v>2217</v>
      </c>
      <c r="H41" s="6" t="s">
        <v>2041</v>
      </c>
      <c r="I41" s="6" t="s">
        <v>2205</v>
      </c>
      <c r="J41" s="6" t="s">
        <v>2147</v>
      </c>
      <c r="K41" s="6"/>
    </row>
    <row r="42" customFormat="false" ht="57.45" hidden="false" customHeight="false" outlineLevel="0" collapsed="false">
      <c r="A42" s="6" t="s">
        <v>2218</v>
      </c>
      <c r="B42" s="6" t="s">
        <v>2219</v>
      </c>
      <c r="C42" s="6" t="s">
        <v>2049</v>
      </c>
      <c r="D42" s="6" t="s">
        <v>2202</v>
      </c>
      <c r="E42" s="6"/>
      <c r="F42" s="6" t="s">
        <v>2220</v>
      </c>
      <c r="G42" s="6" t="s">
        <v>2221</v>
      </c>
      <c r="H42" s="6" t="s">
        <v>2041</v>
      </c>
      <c r="I42" s="6" t="s">
        <v>2205</v>
      </c>
      <c r="J42" s="6" t="s">
        <v>2147</v>
      </c>
      <c r="K42" s="6"/>
    </row>
    <row r="43" customFormat="false" ht="68.65" hidden="false" customHeight="false" outlineLevel="0" collapsed="false">
      <c r="A43" s="6" t="s">
        <v>2222</v>
      </c>
      <c r="B43" s="6" t="s">
        <v>2223</v>
      </c>
      <c r="C43" s="6" t="s">
        <v>2049</v>
      </c>
      <c r="D43" s="6" t="s">
        <v>2202</v>
      </c>
      <c r="E43" s="6"/>
      <c r="F43" s="6" t="s">
        <v>2224</v>
      </c>
      <c r="G43" s="6" t="s">
        <v>2225</v>
      </c>
      <c r="H43" s="6" t="s">
        <v>2041</v>
      </c>
      <c r="I43" s="6" t="s">
        <v>2205</v>
      </c>
      <c r="J43" s="6" t="s">
        <v>2147</v>
      </c>
      <c r="K43" s="6"/>
    </row>
    <row r="44" customFormat="false" ht="46.25" hidden="false" customHeight="false" outlineLevel="0" collapsed="false">
      <c r="A44" s="6" t="s">
        <v>2226</v>
      </c>
      <c r="B44" s="6" t="s">
        <v>2227</v>
      </c>
      <c r="C44" s="6" t="s">
        <v>2049</v>
      </c>
      <c r="D44" s="6" t="s">
        <v>2202</v>
      </c>
      <c r="E44" s="6"/>
      <c r="F44" s="6" t="s">
        <v>2228</v>
      </c>
      <c r="G44" s="6" t="s">
        <v>2229</v>
      </c>
      <c r="H44" s="6" t="s">
        <v>2041</v>
      </c>
      <c r="I44" s="6" t="s">
        <v>2205</v>
      </c>
      <c r="J44" s="6" t="s">
        <v>2147</v>
      </c>
      <c r="K44" s="6"/>
    </row>
    <row r="45" customFormat="false" ht="46.25" hidden="false" customHeight="false" outlineLevel="0" collapsed="false">
      <c r="A45" s="6" t="s">
        <v>2230</v>
      </c>
      <c r="B45" s="6" t="s">
        <v>2231</v>
      </c>
      <c r="C45" s="6" t="s">
        <v>2049</v>
      </c>
      <c r="D45" s="6" t="s">
        <v>2202</v>
      </c>
      <c r="E45" s="6"/>
      <c r="F45" s="6" t="s">
        <v>2232</v>
      </c>
      <c r="G45" s="6" t="s">
        <v>2233</v>
      </c>
      <c r="H45" s="6" t="s">
        <v>2041</v>
      </c>
      <c r="I45" s="6" t="s">
        <v>2205</v>
      </c>
      <c r="J45" s="6" t="s">
        <v>2147</v>
      </c>
      <c r="K45" s="6"/>
    </row>
    <row r="46" customFormat="false" ht="57.45" hidden="false" customHeight="false" outlineLevel="0" collapsed="false">
      <c r="A46" s="6" t="s">
        <v>2234</v>
      </c>
      <c r="B46" s="6" t="s">
        <v>2235</v>
      </c>
      <c r="C46" s="6" t="s">
        <v>2049</v>
      </c>
      <c r="D46" s="6" t="s">
        <v>2202</v>
      </c>
      <c r="E46" s="6"/>
      <c r="F46" s="6" t="s">
        <v>2236</v>
      </c>
      <c r="G46" s="6" t="s">
        <v>2237</v>
      </c>
      <c r="H46" s="6" t="s">
        <v>2041</v>
      </c>
      <c r="I46" s="6" t="s">
        <v>2205</v>
      </c>
      <c r="J46" s="6" t="s">
        <v>2147</v>
      </c>
      <c r="K46" s="6"/>
    </row>
    <row r="47" customFormat="false" ht="46.25" hidden="false" customHeight="false" outlineLevel="0" collapsed="false">
      <c r="A47" s="6" t="s">
        <v>2238</v>
      </c>
      <c r="B47" s="6" t="s">
        <v>2239</v>
      </c>
      <c r="C47" s="6" t="s">
        <v>2049</v>
      </c>
      <c r="D47" s="6" t="s">
        <v>2202</v>
      </c>
      <c r="E47" s="6"/>
      <c r="F47" s="6" t="s">
        <v>2240</v>
      </c>
      <c r="G47" s="6" t="s">
        <v>2241</v>
      </c>
      <c r="H47" s="6" t="s">
        <v>2041</v>
      </c>
      <c r="I47" s="6" t="s">
        <v>2205</v>
      </c>
      <c r="J47" s="6" t="s">
        <v>2147</v>
      </c>
      <c r="K47" s="6"/>
    </row>
    <row r="48" customFormat="false" ht="46.25" hidden="false" customHeight="false" outlineLevel="0" collapsed="false">
      <c r="A48" s="6" t="s">
        <v>2242</v>
      </c>
      <c r="B48" s="6" t="s">
        <v>2243</v>
      </c>
      <c r="C48" s="6" t="s">
        <v>2049</v>
      </c>
      <c r="D48" s="6" t="s">
        <v>2202</v>
      </c>
      <c r="E48" s="6"/>
      <c r="F48" s="6" t="s">
        <v>2244</v>
      </c>
      <c r="G48" s="6" t="s">
        <v>2245</v>
      </c>
      <c r="H48" s="6" t="s">
        <v>2041</v>
      </c>
      <c r="I48" s="6" t="s">
        <v>2205</v>
      </c>
      <c r="J48" s="6" t="s">
        <v>2147</v>
      </c>
      <c r="K48" s="6"/>
    </row>
    <row r="49" customFormat="false" ht="46.25" hidden="false" customHeight="false" outlineLevel="0" collapsed="false">
      <c r="A49" s="6" t="s">
        <v>2246</v>
      </c>
      <c r="B49" s="6" t="s">
        <v>2247</v>
      </c>
      <c r="C49" s="6" t="s">
        <v>2049</v>
      </c>
      <c r="D49" s="6" t="s">
        <v>2202</v>
      </c>
      <c r="E49" s="6"/>
      <c r="F49" s="6" t="s">
        <v>2248</v>
      </c>
      <c r="G49" s="6" t="s">
        <v>2249</v>
      </c>
      <c r="H49" s="6" t="s">
        <v>2041</v>
      </c>
      <c r="I49" s="6" t="s">
        <v>2205</v>
      </c>
      <c r="J49" s="6" t="s">
        <v>2147</v>
      </c>
      <c r="K49" s="6"/>
    </row>
    <row r="50" customFormat="false" ht="35.05" hidden="false" customHeight="false" outlineLevel="0" collapsed="false">
      <c r="A50" s="6" t="s">
        <v>2250</v>
      </c>
      <c r="B50" s="6" t="s">
        <v>2251</v>
      </c>
      <c r="C50" s="6" t="s">
        <v>2049</v>
      </c>
      <c r="D50" s="6" t="s">
        <v>2202</v>
      </c>
      <c r="E50" s="6"/>
      <c r="F50" s="6" t="s">
        <v>2252</v>
      </c>
      <c r="G50" s="6" t="s">
        <v>2253</v>
      </c>
      <c r="H50" s="6" t="s">
        <v>2041</v>
      </c>
      <c r="I50" s="6" t="s">
        <v>2205</v>
      </c>
      <c r="J50" s="6" t="s">
        <v>2147</v>
      </c>
      <c r="K50" s="6"/>
    </row>
  </sheetData>
  <autoFilter ref="A1:K50"/>
  <dataValidations count="1">
    <dataValidation allowBlank="true" errorStyle="stop" operator="between" showDropDown="false" showErrorMessage="false" showInputMessage="false" sqref="H2:H200" type="list">
      <formula1>"New,Assigned,Fixed,Retest,Closed,Rejected"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9"/>
    <col collapsed="false" customWidth="true" hidden="false" outlineLevel="0" max="8" min="8" style="0" width="7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34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5" t="s">
        <v>642</v>
      </c>
      <c r="B1" s="5" t="s">
        <v>2254</v>
      </c>
      <c r="C1" s="5" t="s">
        <v>2255</v>
      </c>
      <c r="D1" s="5" t="s">
        <v>17</v>
      </c>
      <c r="E1" s="5" t="s">
        <v>15</v>
      </c>
      <c r="F1" s="5" t="s">
        <v>2256</v>
      </c>
      <c r="G1" s="5" t="s">
        <v>1600</v>
      </c>
      <c r="H1" s="5" t="s">
        <v>2257</v>
      </c>
      <c r="I1" s="5" t="s">
        <v>1598</v>
      </c>
      <c r="J1" s="5" t="s">
        <v>2258</v>
      </c>
      <c r="K1" s="5" t="s">
        <v>1599</v>
      </c>
      <c r="L1" s="5" t="s">
        <v>2259</v>
      </c>
      <c r="M1" s="5" t="s">
        <v>1601</v>
      </c>
      <c r="N1" s="5" t="s">
        <v>2260</v>
      </c>
    </row>
    <row r="2" customFormat="false" ht="46.25" hidden="false" customHeight="false" outlineLevel="0" collapsed="false">
      <c r="A2" s="6" t="s">
        <v>2203</v>
      </c>
      <c r="B2" s="6" t="s">
        <v>81</v>
      </c>
      <c r="C2" s="6" t="s">
        <v>79</v>
      </c>
      <c r="D2" s="6" t="s">
        <v>27</v>
      </c>
      <c r="E2" s="6" t="s">
        <v>80</v>
      </c>
      <c r="F2" s="6" t="s">
        <v>2261</v>
      </c>
      <c r="G2" s="6" t="s">
        <v>1632</v>
      </c>
      <c r="H2" s="6" t="s">
        <v>2262</v>
      </c>
      <c r="I2" s="6" t="s">
        <v>2205</v>
      </c>
      <c r="J2" s="6" t="s">
        <v>2263</v>
      </c>
      <c r="K2" s="6" t="s">
        <v>2264</v>
      </c>
      <c r="L2" s="6" t="s">
        <v>2265</v>
      </c>
      <c r="M2" s="6" t="s">
        <v>2200</v>
      </c>
      <c r="N2" s="6"/>
    </row>
    <row r="3" customFormat="false" ht="46.25" hidden="false" customHeight="false" outlineLevel="0" collapsed="false">
      <c r="A3" s="6" t="s">
        <v>2266</v>
      </c>
      <c r="B3" s="6" t="s">
        <v>81</v>
      </c>
      <c r="C3" s="6" t="s">
        <v>107</v>
      </c>
      <c r="D3" s="6" t="s">
        <v>27</v>
      </c>
      <c r="E3" s="6" t="s">
        <v>108</v>
      </c>
      <c r="F3" s="6" t="s">
        <v>2267</v>
      </c>
      <c r="G3" s="6" t="s">
        <v>1607</v>
      </c>
      <c r="H3" s="6" t="s">
        <v>2268</v>
      </c>
      <c r="I3" s="6" t="s">
        <v>2205</v>
      </c>
      <c r="J3" s="6" t="s">
        <v>2263</v>
      </c>
      <c r="K3" s="6" t="s">
        <v>2264</v>
      </c>
      <c r="L3" s="6" t="s">
        <v>2269</v>
      </c>
      <c r="M3" s="6"/>
      <c r="N3" s="6"/>
    </row>
    <row r="4" customFormat="false" ht="46.25" hidden="false" customHeight="false" outlineLevel="0" collapsed="false">
      <c r="A4" s="6" t="s">
        <v>2208</v>
      </c>
      <c r="B4" s="6" t="s">
        <v>81</v>
      </c>
      <c r="C4" s="6" t="s">
        <v>129</v>
      </c>
      <c r="D4" s="6" t="s">
        <v>27</v>
      </c>
      <c r="E4" s="6" t="s">
        <v>130</v>
      </c>
      <c r="F4" s="6" t="s">
        <v>2270</v>
      </c>
      <c r="G4" s="6" t="s">
        <v>1632</v>
      </c>
      <c r="H4" s="6" t="s">
        <v>2271</v>
      </c>
      <c r="I4" s="6" t="s">
        <v>2205</v>
      </c>
      <c r="J4" s="6" t="s">
        <v>2263</v>
      </c>
      <c r="K4" s="6" t="s">
        <v>2264</v>
      </c>
      <c r="L4" s="6" t="s">
        <v>2272</v>
      </c>
      <c r="M4" s="6" t="s">
        <v>2206</v>
      </c>
      <c r="N4" s="6"/>
    </row>
    <row r="5" customFormat="false" ht="46.25" hidden="false" customHeight="false" outlineLevel="0" collapsed="false">
      <c r="A5" s="6" t="s">
        <v>2212</v>
      </c>
      <c r="B5" s="6" t="s">
        <v>81</v>
      </c>
      <c r="C5" s="6" t="s">
        <v>134</v>
      </c>
      <c r="D5" s="6" t="s">
        <v>27</v>
      </c>
      <c r="E5" s="6" t="s">
        <v>135</v>
      </c>
      <c r="F5" s="6" t="s">
        <v>2273</v>
      </c>
      <c r="G5" s="6" t="s">
        <v>1632</v>
      </c>
      <c r="H5" s="6" t="s">
        <v>2274</v>
      </c>
      <c r="I5" s="6" t="s">
        <v>2205</v>
      </c>
      <c r="J5" s="6" t="s">
        <v>2263</v>
      </c>
      <c r="K5" s="6" t="s">
        <v>2264</v>
      </c>
      <c r="L5" s="6" t="s">
        <v>2275</v>
      </c>
      <c r="M5" s="6" t="s">
        <v>2210</v>
      </c>
      <c r="N5" s="6"/>
    </row>
    <row r="6" customFormat="false" ht="57.45" hidden="false" customHeight="false" outlineLevel="0" collapsed="false">
      <c r="A6" s="6" t="s">
        <v>2216</v>
      </c>
      <c r="B6" s="6" t="s">
        <v>81</v>
      </c>
      <c r="C6" s="6" t="s">
        <v>145</v>
      </c>
      <c r="D6" s="6" t="s">
        <v>27</v>
      </c>
      <c r="E6" s="6" t="s">
        <v>146</v>
      </c>
      <c r="F6" s="6" t="s">
        <v>2276</v>
      </c>
      <c r="G6" s="6" t="s">
        <v>1632</v>
      </c>
      <c r="H6" s="6" t="s">
        <v>2277</v>
      </c>
      <c r="I6" s="6" t="s">
        <v>2205</v>
      </c>
      <c r="J6" s="6" t="s">
        <v>2263</v>
      </c>
      <c r="K6" s="6" t="s">
        <v>2264</v>
      </c>
      <c r="L6" s="6" t="s">
        <v>2278</v>
      </c>
      <c r="M6" s="6" t="s">
        <v>2214</v>
      </c>
      <c r="N6" s="6"/>
    </row>
    <row r="7" customFormat="false" ht="57.45" hidden="false" customHeight="false" outlineLevel="0" collapsed="false">
      <c r="A7" s="6" t="s">
        <v>2220</v>
      </c>
      <c r="B7" s="6" t="s">
        <v>81</v>
      </c>
      <c r="C7" s="6" t="s">
        <v>159</v>
      </c>
      <c r="D7" s="6" t="s">
        <v>27</v>
      </c>
      <c r="E7" s="6" t="s">
        <v>160</v>
      </c>
      <c r="F7" s="6" t="s">
        <v>2279</v>
      </c>
      <c r="G7" s="6" t="s">
        <v>1632</v>
      </c>
      <c r="H7" s="6" t="s">
        <v>2280</v>
      </c>
      <c r="I7" s="6" t="s">
        <v>2205</v>
      </c>
      <c r="J7" s="6" t="s">
        <v>2263</v>
      </c>
      <c r="K7" s="6" t="s">
        <v>2264</v>
      </c>
      <c r="L7" s="6" t="s">
        <v>2281</v>
      </c>
      <c r="M7" s="6" t="s">
        <v>2218</v>
      </c>
      <c r="N7" s="6"/>
    </row>
    <row r="8" customFormat="false" ht="68.65" hidden="false" customHeight="false" outlineLevel="0" collapsed="false">
      <c r="A8" s="6" t="s">
        <v>2224</v>
      </c>
      <c r="B8" s="6" t="s">
        <v>81</v>
      </c>
      <c r="C8" s="6" t="s">
        <v>166</v>
      </c>
      <c r="D8" s="6" t="s">
        <v>27</v>
      </c>
      <c r="E8" s="6" t="s">
        <v>167</v>
      </c>
      <c r="F8" s="6" t="s">
        <v>2282</v>
      </c>
      <c r="G8" s="6" t="s">
        <v>1632</v>
      </c>
      <c r="H8" s="6" t="s">
        <v>2283</v>
      </c>
      <c r="I8" s="6" t="s">
        <v>2205</v>
      </c>
      <c r="J8" s="6" t="s">
        <v>2263</v>
      </c>
      <c r="K8" s="6" t="s">
        <v>2264</v>
      </c>
      <c r="L8" s="6" t="s">
        <v>2284</v>
      </c>
      <c r="M8" s="6" t="s">
        <v>2222</v>
      </c>
      <c r="N8" s="6"/>
    </row>
    <row r="9" customFormat="false" ht="46.25" hidden="false" customHeight="false" outlineLevel="0" collapsed="false">
      <c r="A9" s="6" t="s">
        <v>2228</v>
      </c>
      <c r="B9" s="6" t="s">
        <v>81</v>
      </c>
      <c r="C9" s="6" t="s">
        <v>169</v>
      </c>
      <c r="D9" s="6" t="s">
        <v>27</v>
      </c>
      <c r="E9" s="6" t="s">
        <v>170</v>
      </c>
      <c r="F9" s="6" t="s">
        <v>2285</v>
      </c>
      <c r="G9" s="6" t="s">
        <v>1632</v>
      </c>
      <c r="H9" s="6" t="s">
        <v>2286</v>
      </c>
      <c r="I9" s="6" t="s">
        <v>2205</v>
      </c>
      <c r="J9" s="6" t="s">
        <v>2263</v>
      </c>
      <c r="K9" s="6" t="s">
        <v>2264</v>
      </c>
      <c r="L9" s="6" t="s">
        <v>2287</v>
      </c>
      <c r="M9" s="6" t="s">
        <v>2226</v>
      </c>
      <c r="N9" s="6"/>
    </row>
    <row r="10" customFormat="false" ht="46.25" hidden="false" customHeight="false" outlineLevel="0" collapsed="false">
      <c r="A10" s="6" t="s">
        <v>2232</v>
      </c>
      <c r="B10" s="6" t="s">
        <v>81</v>
      </c>
      <c r="C10" s="6" t="s">
        <v>253</v>
      </c>
      <c r="D10" s="6" t="s">
        <v>27</v>
      </c>
      <c r="E10" s="6" t="s">
        <v>254</v>
      </c>
      <c r="F10" s="6" t="s">
        <v>2288</v>
      </c>
      <c r="G10" s="6" t="s">
        <v>1632</v>
      </c>
      <c r="H10" s="6" t="s">
        <v>2289</v>
      </c>
      <c r="I10" s="6" t="s">
        <v>2205</v>
      </c>
      <c r="J10" s="6" t="s">
        <v>2263</v>
      </c>
      <c r="K10" s="6" t="s">
        <v>2264</v>
      </c>
      <c r="L10" s="6" t="s">
        <v>2290</v>
      </c>
      <c r="M10" s="6" t="s">
        <v>2230</v>
      </c>
      <c r="N10" s="6"/>
    </row>
    <row r="11" customFormat="false" ht="57.45" hidden="false" customHeight="false" outlineLevel="0" collapsed="false">
      <c r="A11" s="6" t="s">
        <v>2236</v>
      </c>
      <c r="B11" s="6" t="s">
        <v>81</v>
      </c>
      <c r="C11" s="6" t="s">
        <v>355</v>
      </c>
      <c r="D11" s="6" t="s">
        <v>27</v>
      </c>
      <c r="E11" s="6" t="s">
        <v>356</v>
      </c>
      <c r="F11" s="6" t="s">
        <v>2291</v>
      </c>
      <c r="G11" s="6" t="s">
        <v>1632</v>
      </c>
      <c r="H11" s="6" t="s">
        <v>2292</v>
      </c>
      <c r="I11" s="6" t="s">
        <v>2205</v>
      </c>
      <c r="J11" s="6" t="s">
        <v>2263</v>
      </c>
      <c r="K11" s="6" t="s">
        <v>2264</v>
      </c>
      <c r="L11" s="6" t="s">
        <v>2293</v>
      </c>
      <c r="M11" s="6" t="s">
        <v>2234</v>
      </c>
      <c r="N11" s="6"/>
    </row>
    <row r="12" customFormat="false" ht="46.25" hidden="false" customHeight="false" outlineLevel="0" collapsed="false">
      <c r="A12" s="6" t="s">
        <v>2240</v>
      </c>
      <c r="B12" s="6" t="s">
        <v>81</v>
      </c>
      <c r="C12" s="6" t="s">
        <v>359</v>
      </c>
      <c r="D12" s="6" t="s">
        <v>27</v>
      </c>
      <c r="E12" s="6" t="s">
        <v>360</v>
      </c>
      <c r="F12" s="6" t="s">
        <v>2294</v>
      </c>
      <c r="G12" s="6" t="s">
        <v>1632</v>
      </c>
      <c r="H12" s="6" t="s">
        <v>2295</v>
      </c>
      <c r="I12" s="6" t="s">
        <v>2205</v>
      </c>
      <c r="J12" s="6" t="s">
        <v>2263</v>
      </c>
      <c r="K12" s="6" t="s">
        <v>2264</v>
      </c>
      <c r="L12" s="6" t="s">
        <v>2296</v>
      </c>
      <c r="M12" s="6" t="s">
        <v>2238</v>
      </c>
      <c r="N12" s="6"/>
    </row>
    <row r="13" customFormat="false" ht="46.25" hidden="false" customHeight="false" outlineLevel="0" collapsed="false">
      <c r="A13" s="6" t="s">
        <v>2244</v>
      </c>
      <c r="B13" s="6" t="s">
        <v>81</v>
      </c>
      <c r="C13" s="6" t="s">
        <v>419</v>
      </c>
      <c r="D13" s="6" t="s">
        <v>27</v>
      </c>
      <c r="E13" s="6" t="s">
        <v>420</v>
      </c>
      <c r="F13" s="6" t="s">
        <v>2297</v>
      </c>
      <c r="G13" s="6" t="s">
        <v>1632</v>
      </c>
      <c r="H13" s="6" t="s">
        <v>2298</v>
      </c>
      <c r="I13" s="6" t="s">
        <v>2205</v>
      </c>
      <c r="J13" s="6" t="s">
        <v>2263</v>
      </c>
      <c r="K13" s="6" t="s">
        <v>2264</v>
      </c>
      <c r="L13" s="6" t="s">
        <v>2299</v>
      </c>
      <c r="M13" s="6" t="s">
        <v>2242</v>
      </c>
      <c r="N13" s="6"/>
    </row>
    <row r="14" customFormat="false" ht="46.25" hidden="false" customHeight="false" outlineLevel="0" collapsed="false">
      <c r="A14" s="6" t="s">
        <v>2248</v>
      </c>
      <c r="B14" s="6" t="s">
        <v>81</v>
      </c>
      <c r="C14" s="6" t="s">
        <v>585</v>
      </c>
      <c r="D14" s="6" t="s">
        <v>27</v>
      </c>
      <c r="E14" s="6" t="s">
        <v>586</v>
      </c>
      <c r="F14" s="6" t="s">
        <v>2300</v>
      </c>
      <c r="G14" s="6" t="s">
        <v>1632</v>
      </c>
      <c r="H14" s="6" t="s">
        <v>2301</v>
      </c>
      <c r="I14" s="6" t="s">
        <v>2205</v>
      </c>
      <c r="J14" s="6" t="s">
        <v>2263</v>
      </c>
      <c r="K14" s="6" t="s">
        <v>2264</v>
      </c>
      <c r="L14" s="6" t="s">
        <v>2302</v>
      </c>
      <c r="M14" s="6" t="s">
        <v>2246</v>
      </c>
      <c r="N14" s="6"/>
    </row>
    <row r="15" customFormat="false" ht="46.25" hidden="false" customHeight="false" outlineLevel="0" collapsed="false">
      <c r="A15" s="6" t="s">
        <v>2252</v>
      </c>
      <c r="B15" s="6" t="s">
        <v>81</v>
      </c>
      <c r="C15" s="6" t="s">
        <v>587</v>
      </c>
      <c r="D15" s="6" t="s">
        <v>27</v>
      </c>
      <c r="E15" s="6" t="s">
        <v>588</v>
      </c>
      <c r="F15" s="6" t="s">
        <v>2303</v>
      </c>
      <c r="G15" s="6" t="s">
        <v>1632</v>
      </c>
      <c r="H15" s="6" t="s">
        <v>2304</v>
      </c>
      <c r="I15" s="6" t="s">
        <v>2205</v>
      </c>
      <c r="J15" s="6" t="s">
        <v>2263</v>
      </c>
      <c r="K15" s="6" t="s">
        <v>2264</v>
      </c>
      <c r="L15" s="6" t="s">
        <v>2305</v>
      </c>
      <c r="M15" s="6" t="s">
        <v>2250</v>
      </c>
      <c r="N15" s="6"/>
    </row>
    <row r="16" customFormat="false" ht="91" hidden="false" customHeight="false" outlineLevel="0" collapsed="false">
      <c r="A16" s="6" t="s">
        <v>2306</v>
      </c>
      <c r="B16" s="6" t="s">
        <v>226</v>
      </c>
      <c r="C16" s="6" t="s">
        <v>96</v>
      </c>
      <c r="D16" s="6" t="s">
        <v>27</v>
      </c>
      <c r="E16" s="6" t="s">
        <v>97</v>
      </c>
      <c r="F16" s="6" t="s">
        <v>2307</v>
      </c>
      <c r="G16" s="6" t="s">
        <v>1607</v>
      </c>
      <c r="H16" s="6" t="s">
        <v>2308</v>
      </c>
      <c r="I16" s="6" t="s">
        <v>2146</v>
      </c>
      <c r="J16" s="6" t="s">
        <v>2263</v>
      </c>
      <c r="K16" s="6" t="s">
        <v>2309</v>
      </c>
      <c r="L16" s="6"/>
      <c r="M16" s="6"/>
      <c r="N16" s="6"/>
    </row>
    <row r="17" customFormat="false" ht="35.05" hidden="false" customHeight="false" outlineLevel="0" collapsed="false">
      <c r="A17" s="6" t="s">
        <v>2150</v>
      </c>
      <c r="B17" s="6" t="s">
        <v>226</v>
      </c>
      <c r="C17" s="6" t="s">
        <v>224</v>
      </c>
      <c r="D17" s="6" t="s">
        <v>27</v>
      </c>
      <c r="E17" s="6" t="s">
        <v>225</v>
      </c>
      <c r="F17" s="6" t="s">
        <v>2310</v>
      </c>
      <c r="G17" s="6" t="s">
        <v>1632</v>
      </c>
      <c r="H17" s="6" t="s">
        <v>2311</v>
      </c>
      <c r="I17" s="6" t="s">
        <v>2146</v>
      </c>
      <c r="J17" s="6" t="s">
        <v>2263</v>
      </c>
      <c r="K17" s="6" t="s">
        <v>2309</v>
      </c>
      <c r="L17" s="6"/>
      <c r="M17" s="6" t="s">
        <v>2148</v>
      </c>
      <c r="N17" s="6"/>
    </row>
    <row r="18" customFormat="false" ht="35.05" hidden="false" customHeight="false" outlineLevel="0" collapsed="false">
      <c r="A18" s="6" t="s">
        <v>2154</v>
      </c>
      <c r="B18" s="6" t="s">
        <v>226</v>
      </c>
      <c r="C18" s="6" t="s">
        <v>238</v>
      </c>
      <c r="D18" s="6" t="s">
        <v>27</v>
      </c>
      <c r="E18" s="6" t="s">
        <v>239</v>
      </c>
      <c r="F18" s="6" t="s">
        <v>2312</v>
      </c>
      <c r="G18" s="6" t="s">
        <v>1632</v>
      </c>
      <c r="H18" s="6" t="s">
        <v>2313</v>
      </c>
      <c r="I18" s="6" t="s">
        <v>2146</v>
      </c>
      <c r="J18" s="6" t="s">
        <v>2263</v>
      </c>
      <c r="K18" s="6" t="s">
        <v>2309</v>
      </c>
      <c r="L18" s="6"/>
      <c r="M18" s="6" t="s">
        <v>2152</v>
      </c>
      <c r="N18" s="6"/>
    </row>
    <row r="19" customFormat="false" ht="35.05" hidden="false" customHeight="false" outlineLevel="0" collapsed="false">
      <c r="A19" s="6" t="s">
        <v>2158</v>
      </c>
      <c r="B19" s="6" t="s">
        <v>226</v>
      </c>
      <c r="C19" s="6" t="s">
        <v>266</v>
      </c>
      <c r="D19" s="6" t="s">
        <v>27</v>
      </c>
      <c r="E19" s="6" t="s">
        <v>267</v>
      </c>
      <c r="F19" s="6" t="s">
        <v>2314</v>
      </c>
      <c r="G19" s="6" t="s">
        <v>1632</v>
      </c>
      <c r="H19" s="6" t="s">
        <v>2315</v>
      </c>
      <c r="I19" s="6" t="s">
        <v>2146</v>
      </c>
      <c r="J19" s="6" t="s">
        <v>2263</v>
      </c>
      <c r="K19" s="6" t="s">
        <v>2309</v>
      </c>
      <c r="L19" s="6"/>
      <c r="M19" s="6" t="s">
        <v>2156</v>
      </c>
      <c r="N19" s="6"/>
    </row>
    <row r="20" customFormat="false" ht="46.25" hidden="false" customHeight="false" outlineLevel="0" collapsed="false">
      <c r="A20" s="6" t="s">
        <v>2316</v>
      </c>
      <c r="B20" s="6" t="s">
        <v>226</v>
      </c>
      <c r="C20" s="6" t="s">
        <v>338</v>
      </c>
      <c r="D20" s="6" t="s">
        <v>27</v>
      </c>
      <c r="E20" s="6" t="s">
        <v>339</v>
      </c>
      <c r="F20" s="6" t="s">
        <v>2317</v>
      </c>
      <c r="G20" s="6" t="s">
        <v>1607</v>
      </c>
      <c r="H20" s="6" t="s">
        <v>2318</v>
      </c>
      <c r="I20" s="6" t="s">
        <v>2146</v>
      </c>
      <c r="J20" s="6" t="s">
        <v>2263</v>
      </c>
      <c r="K20" s="6" t="s">
        <v>2309</v>
      </c>
      <c r="L20" s="6"/>
      <c r="M20" s="6"/>
      <c r="N20" s="6"/>
    </row>
    <row r="21" customFormat="false" ht="57.45" hidden="false" customHeight="false" outlineLevel="0" collapsed="false">
      <c r="A21" s="6" t="s">
        <v>2162</v>
      </c>
      <c r="B21" s="6" t="s">
        <v>226</v>
      </c>
      <c r="C21" s="6" t="s">
        <v>341</v>
      </c>
      <c r="D21" s="6" t="s">
        <v>27</v>
      </c>
      <c r="E21" s="6" t="s">
        <v>342</v>
      </c>
      <c r="F21" s="6" t="s">
        <v>2319</v>
      </c>
      <c r="G21" s="6" t="s">
        <v>1632</v>
      </c>
      <c r="H21" s="6" t="s">
        <v>2320</v>
      </c>
      <c r="I21" s="6" t="s">
        <v>2146</v>
      </c>
      <c r="J21" s="6" t="s">
        <v>2263</v>
      </c>
      <c r="K21" s="6" t="s">
        <v>2309</v>
      </c>
      <c r="L21" s="6"/>
      <c r="M21" s="6" t="s">
        <v>2160</v>
      </c>
      <c r="N21" s="6"/>
    </row>
    <row r="22" customFormat="false" ht="35.05" hidden="false" customHeight="false" outlineLevel="0" collapsed="false">
      <c r="A22" s="6" t="s">
        <v>2166</v>
      </c>
      <c r="B22" s="6" t="s">
        <v>226</v>
      </c>
      <c r="C22" s="6" t="s">
        <v>450</v>
      </c>
      <c r="D22" s="6" t="s">
        <v>27</v>
      </c>
      <c r="E22" s="6" t="s">
        <v>451</v>
      </c>
      <c r="F22" s="6" t="s">
        <v>2321</v>
      </c>
      <c r="G22" s="6" t="s">
        <v>1632</v>
      </c>
      <c r="H22" s="6" t="s">
        <v>2322</v>
      </c>
      <c r="I22" s="6" t="s">
        <v>2146</v>
      </c>
      <c r="J22" s="6" t="s">
        <v>2263</v>
      </c>
      <c r="K22" s="6" t="s">
        <v>2309</v>
      </c>
      <c r="L22" s="6"/>
      <c r="M22" s="6" t="s">
        <v>2164</v>
      </c>
      <c r="N22" s="6"/>
    </row>
    <row r="23" customFormat="false" ht="46.25" hidden="false" customHeight="false" outlineLevel="0" collapsed="false">
      <c r="A23" s="6" t="s">
        <v>2323</v>
      </c>
      <c r="B23" s="6" t="s">
        <v>226</v>
      </c>
      <c r="C23" s="6" t="s">
        <v>501</v>
      </c>
      <c r="D23" s="6" t="s">
        <v>27</v>
      </c>
      <c r="E23" s="6" t="s">
        <v>502</v>
      </c>
      <c r="F23" s="6" t="s">
        <v>2324</v>
      </c>
      <c r="G23" s="6" t="s">
        <v>1607</v>
      </c>
      <c r="H23" s="6" t="s">
        <v>2325</v>
      </c>
      <c r="I23" s="6" t="s">
        <v>2146</v>
      </c>
      <c r="J23" s="6" t="s">
        <v>2263</v>
      </c>
      <c r="K23" s="6" t="s">
        <v>2309</v>
      </c>
      <c r="L23" s="6"/>
      <c r="M23" s="6"/>
      <c r="N23" s="6"/>
    </row>
    <row r="24" customFormat="false" ht="79.85" hidden="false" customHeight="false" outlineLevel="0" collapsed="false">
      <c r="A24" s="6" t="s">
        <v>2170</v>
      </c>
      <c r="B24" s="6" t="s">
        <v>226</v>
      </c>
      <c r="C24" s="6" t="s">
        <v>617</v>
      </c>
      <c r="D24" s="6" t="s">
        <v>27</v>
      </c>
      <c r="E24" s="6" t="s">
        <v>618</v>
      </c>
      <c r="F24" s="6" t="s">
        <v>2326</v>
      </c>
      <c r="G24" s="6" t="s">
        <v>1632</v>
      </c>
      <c r="H24" s="6" t="s">
        <v>2327</v>
      </c>
      <c r="I24" s="6" t="s">
        <v>2146</v>
      </c>
      <c r="J24" s="6" t="s">
        <v>2263</v>
      </c>
      <c r="K24" s="6" t="s">
        <v>2309</v>
      </c>
      <c r="L24" s="6"/>
      <c r="M24" s="6" t="s">
        <v>2168</v>
      </c>
      <c r="N24" s="6"/>
    </row>
    <row r="25" customFormat="false" ht="46.25" hidden="false" customHeight="false" outlineLevel="0" collapsed="false">
      <c r="A25" s="6" t="s">
        <v>2174</v>
      </c>
      <c r="B25" s="6" t="s">
        <v>226</v>
      </c>
      <c r="C25" s="6" t="s">
        <v>629</v>
      </c>
      <c r="D25" s="6" t="s">
        <v>27</v>
      </c>
      <c r="E25" s="6" t="s">
        <v>630</v>
      </c>
      <c r="F25" s="6" t="s">
        <v>2328</v>
      </c>
      <c r="G25" s="6" t="s">
        <v>1632</v>
      </c>
      <c r="H25" s="6" t="s">
        <v>2329</v>
      </c>
      <c r="I25" s="6" t="s">
        <v>2146</v>
      </c>
      <c r="J25" s="6" t="s">
        <v>2263</v>
      </c>
      <c r="K25" s="6" t="s">
        <v>2309</v>
      </c>
      <c r="L25" s="6"/>
      <c r="M25" s="6" t="s">
        <v>2172</v>
      </c>
      <c r="N25" s="6"/>
    </row>
    <row r="26" customFormat="false" ht="35.05" hidden="false" customHeight="false" outlineLevel="0" collapsed="false">
      <c r="A26" s="6" t="s">
        <v>2330</v>
      </c>
      <c r="B26" s="6" t="s">
        <v>2331</v>
      </c>
      <c r="C26" s="6" t="s">
        <v>2332</v>
      </c>
      <c r="D26" s="6" t="s">
        <v>27</v>
      </c>
      <c r="E26" s="6" t="s">
        <v>2333</v>
      </c>
      <c r="F26" s="6" t="s">
        <v>2334</v>
      </c>
      <c r="G26" s="6" t="s">
        <v>1607</v>
      </c>
      <c r="H26" s="6" t="s">
        <v>2335</v>
      </c>
      <c r="I26" s="6" t="s">
        <v>2146</v>
      </c>
      <c r="J26" s="6" t="s">
        <v>2263</v>
      </c>
      <c r="K26" s="6" t="s">
        <v>2336</v>
      </c>
      <c r="L26" s="6"/>
      <c r="M26" s="6"/>
      <c r="N26" s="6"/>
    </row>
    <row r="27" customFormat="false" ht="46.25" hidden="false" customHeight="false" outlineLevel="0" collapsed="false">
      <c r="A27" s="6" t="s">
        <v>2198</v>
      </c>
      <c r="B27" s="6" t="s">
        <v>2331</v>
      </c>
      <c r="C27" s="6" t="s">
        <v>2332</v>
      </c>
      <c r="D27" s="6" t="s">
        <v>27</v>
      </c>
      <c r="E27" s="6" t="s">
        <v>2337</v>
      </c>
      <c r="F27" s="6" t="s">
        <v>2338</v>
      </c>
      <c r="G27" s="6" t="s">
        <v>1607</v>
      </c>
      <c r="H27" s="6" t="s">
        <v>2339</v>
      </c>
      <c r="I27" s="6" t="s">
        <v>2146</v>
      </c>
      <c r="J27" s="6" t="s">
        <v>2263</v>
      </c>
      <c r="K27" s="6" t="s">
        <v>2336</v>
      </c>
      <c r="L27" s="6"/>
      <c r="M27" s="6" t="s">
        <v>2196</v>
      </c>
      <c r="N27" s="6"/>
    </row>
    <row r="28" customFormat="false" ht="46.25" hidden="false" customHeight="false" outlineLevel="0" collapsed="false">
      <c r="A28" s="6" t="s">
        <v>2340</v>
      </c>
      <c r="B28" s="6" t="s">
        <v>2331</v>
      </c>
      <c r="C28" s="6" t="s">
        <v>2332</v>
      </c>
      <c r="D28" s="6" t="s">
        <v>27</v>
      </c>
      <c r="E28" s="6" t="s">
        <v>2341</v>
      </c>
      <c r="F28" s="6" t="s">
        <v>2342</v>
      </c>
      <c r="G28" s="6" t="s">
        <v>1607</v>
      </c>
      <c r="H28" s="6" t="s">
        <v>2343</v>
      </c>
      <c r="I28" s="6" t="s">
        <v>2205</v>
      </c>
      <c r="J28" s="6" t="s">
        <v>2263</v>
      </c>
      <c r="K28" s="6" t="s">
        <v>2264</v>
      </c>
      <c r="L28" s="6" t="s">
        <v>2344</v>
      </c>
      <c r="M28" s="6"/>
      <c r="N28" s="6"/>
    </row>
    <row r="29" customFormat="false" ht="35.05" hidden="false" customHeight="false" outlineLevel="0" collapsed="false">
      <c r="A29" s="6" t="s">
        <v>2345</v>
      </c>
      <c r="B29" s="6" t="s">
        <v>2331</v>
      </c>
      <c r="C29" s="6" t="s">
        <v>2332</v>
      </c>
      <c r="D29" s="6" t="s">
        <v>27</v>
      </c>
      <c r="E29" s="6" t="s">
        <v>2346</v>
      </c>
      <c r="F29" s="6" t="s">
        <v>2347</v>
      </c>
      <c r="G29" s="6" t="s">
        <v>1607</v>
      </c>
      <c r="H29" s="6" t="s">
        <v>2348</v>
      </c>
      <c r="I29" s="6" t="s">
        <v>2146</v>
      </c>
      <c r="J29" s="6" t="s">
        <v>2263</v>
      </c>
      <c r="K29" s="6" t="s">
        <v>2336</v>
      </c>
      <c r="L29" s="6"/>
      <c r="M29" s="6"/>
      <c r="N29" s="6"/>
    </row>
    <row r="30" customFormat="false" ht="35.05" hidden="false" customHeight="false" outlineLevel="0" collapsed="false">
      <c r="A30" s="6" t="s">
        <v>2349</v>
      </c>
      <c r="B30" s="6" t="s">
        <v>2331</v>
      </c>
      <c r="C30" s="6" t="s">
        <v>2332</v>
      </c>
      <c r="D30" s="6" t="s">
        <v>27</v>
      </c>
      <c r="E30" s="6" t="s">
        <v>2350</v>
      </c>
      <c r="F30" s="6" t="s">
        <v>2351</v>
      </c>
      <c r="G30" s="6" t="s">
        <v>1607</v>
      </c>
      <c r="H30" s="6" t="s">
        <v>2352</v>
      </c>
      <c r="I30" s="6" t="s">
        <v>2146</v>
      </c>
      <c r="J30" s="6" t="s">
        <v>2263</v>
      </c>
      <c r="K30" s="6" t="s">
        <v>2336</v>
      </c>
      <c r="L30" s="6"/>
      <c r="M30" s="6"/>
      <c r="N30" s="6"/>
    </row>
    <row r="31" customFormat="false" ht="46.25" hidden="false" customHeight="false" outlineLevel="0" collapsed="false">
      <c r="A31" s="6" t="s">
        <v>2353</v>
      </c>
      <c r="B31" s="6" t="s">
        <v>2331</v>
      </c>
      <c r="C31" s="6" t="s">
        <v>2332</v>
      </c>
      <c r="D31" s="6" t="s">
        <v>27</v>
      </c>
      <c r="E31" s="6" t="s">
        <v>2354</v>
      </c>
      <c r="F31" s="6" t="s">
        <v>2355</v>
      </c>
      <c r="G31" s="6" t="s">
        <v>1632</v>
      </c>
      <c r="H31" s="6" t="s">
        <v>2356</v>
      </c>
      <c r="I31" s="6" t="s">
        <v>2146</v>
      </c>
      <c r="J31" s="6" t="s">
        <v>2263</v>
      </c>
      <c r="K31" s="6" t="s">
        <v>2336</v>
      </c>
      <c r="L31" s="6"/>
      <c r="M31" s="6" t="s">
        <v>663</v>
      </c>
      <c r="N31" s="6"/>
    </row>
    <row r="32" customFormat="false" ht="46.25" hidden="false" customHeight="false" outlineLevel="0" collapsed="false">
      <c r="A32" s="6" t="s">
        <v>2357</v>
      </c>
      <c r="B32" s="6" t="s">
        <v>2331</v>
      </c>
      <c r="C32" s="6" t="s">
        <v>2332</v>
      </c>
      <c r="D32" s="6" t="s">
        <v>27</v>
      </c>
      <c r="E32" s="6" t="s">
        <v>2358</v>
      </c>
      <c r="F32" s="6" t="s">
        <v>2359</v>
      </c>
      <c r="G32" s="6" t="s">
        <v>1607</v>
      </c>
      <c r="H32" s="6" t="s">
        <v>2360</v>
      </c>
      <c r="I32" s="6" t="s">
        <v>2205</v>
      </c>
      <c r="J32" s="6" t="s">
        <v>2263</v>
      </c>
      <c r="K32" s="6" t="s">
        <v>2264</v>
      </c>
      <c r="L32" s="6" t="s">
        <v>2361</v>
      </c>
      <c r="M32" s="6"/>
      <c r="N32" s="6"/>
    </row>
    <row r="33" customFormat="false" ht="46.25" hidden="false" customHeight="false" outlineLevel="0" collapsed="false">
      <c r="A33" s="6" t="s">
        <v>2362</v>
      </c>
      <c r="B33" s="6" t="s">
        <v>2331</v>
      </c>
      <c r="C33" s="6" t="s">
        <v>2332</v>
      </c>
      <c r="D33" s="6" t="s">
        <v>27</v>
      </c>
      <c r="E33" s="6" t="s">
        <v>2363</v>
      </c>
      <c r="F33" s="6" t="s">
        <v>2364</v>
      </c>
      <c r="G33" s="6" t="s">
        <v>1607</v>
      </c>
      <c r="H33" s="6" t="s">
        <v>2365</v>
      </c>
      <c r="I33" s="6" t="s">
        <v>2205</v>
      </c>
      <c r="J33" s="6" t="s">
        <v>2263</v>
      </c>
      <c r="K33" s="6" t="s">
        <v>2264</v>
      </c>
      <c r="L33" s="6" t="s">
        <v>2366</v>
      </c>
      <c r="M33" s="6"/>
      <c r="N33" s="6"/>
    </row>
    <row r="34" customFormat="false" ht="35.05" hidden="false" customHeight="false" outlineLevel="0" collapsed="false">
      <c r="A34" s="6" t="s">
        <v>2178</v>
      </c>
      <c r="B34" s="6" t="s">
        <v>2367</v>
      </c>
      <c r="C34" s="6" t="s">
        <v>2368</v>
      </c>
      <c r="D34" s="6" t="s">
        <v>27</v>
      </c>
      <c r="E34" s="6" t="s">
        <v>2369</v>
      </c>
      <c r="F34" s="6" t="s">
        <v>2370</v>
      </c>
      <c r="G34" s="6" t="s">
        <v>1632</v>
      </c>
      <c r="H34" s="6" t="s">
        <v>2371</v>
      </c>
      <c r="I34" s="6" t="s">
        <v>2146</v>
      </c>
      <c r="J34" s="6" t="s">
        <v>2263</v>
      </c>
      <c r="K34" s="6" t="s">
        <v>2309</v>
      </c>
      <c r="L34" s="6"/>
      <c r="M34" s="6" t="s">
        <v>2176</v>
      </c>
      <c r="N34" s="6"/>
    </row>
    <row r="35" customFormat="false" ht="35.05" hidden="false" customHeight="false" outlineLevel="0" collapsed="false">
      <c r="A35" s="6" t="s">
        <v>2182</v>
      </c>
      <c r="B35" s="6" t="s">
        <v>2367</v>
      </c>
      <c r="C35" s="6" t="s">
        <v>2368</v>
      </c>
      <c r="D35" s="6" t="s">
        <v>27</v>
      </c>
      <c r="E35" s="6" t="s">
        <v>2372</v>
      </c>
      <c r="F35" s="6" t="s">
        <v>2373</v>
      </c>
      <c r="G35" s="6" t="s">
        <v>1632</v>
      </c>
      <c r="H35" s="6" t="s">
        <v>2374</v>
      </c>
      <c r="I35" s="6" t="s">
        <v>2146</v>
      </c>
      <c r="J35" s="6" t="s">
        <v>2263</v>
      </c>
      <c r="K35" s="6" t="s">
        <v>2336</v>
      </c>
      <c r="L35" s="6"/>
      <c r="M35" s="6" t="s">
        <v>2180</v>
      </c>
      <c r="N35" s="6"/>
    </row>
    <row r="36" customFormat="false" ht="35.05" hidden="false" customHeight="false" outlineLevel="0" collapsed="false">
      <c r="A36" s="6" t="s">
        <v>2375</v>
      </c>
      <c r="B36" s="6" t="s">
        <v>2367</v>
      </c>
      <c r="C36" s="6" t="s">
        <v>2368</v>
      </c>
      <c r="D36" s="6" t="s">
        <v>27</v>
      </c>
      <c r="E36" s="6" t="s">
        <v>2376</v>
      </c>
      <c r="F36" s="6" t="s">
        <v>2377</v>
      </c>
      <c r="G36" s="6" t="s">
        <v>1607</v>
      </c>
      <c r="H36" s="6" t="s">
        <v>2378</v>
      </c>
      <c r="I36" s="6" t="s">
        <v>2146</v>
      </c>
      <c r="J36" s="6" t="s">
        <v>2263</v>
      </c>
      <c r="K36" s="6" t="s">
        <v>2336</v>
      </c>
      <c r="L36" s="6"/>
      <c r="M36" s="6"/>
      <c r="N36" s="6"/>
    </row>
    <row r="37" customFormat="false" ht="35.05" hidden="false" customHeight="false" outlineLevel="0" collapsed="false">
      <c r="A37" s="6" t="s">
        <v>2186</v>
      </c>
      <c r="B37" s="6" t="s">
        <v>2367</v>
      </c>
      <c r="C37" s="6" t="s">
        <v>2368</v>
      </c>
      <c r="D37" s="6" t="s">
        <v>27</v>
      </c>
      <c r="E37" s="6" t="s">
        <v>2379</v>
      </c>
      <c r="F37" s="6" t="s">
        <v>2380</v>
      </c>
      <c r="G37" s="6" t="s">
        <v>1632</v>
      </c>
      <c r="H37" s="6" t="s">
        <v>2381</v>
      </c>
      <c r="I37" s="6" t="s">
        <v>2146</v>
      </c>
      <c r="J37" s="6" t="s">
        <v>2263</v>
      </c>
      <c r="K37" s="6" t="s">
        <v>2336</v>
      </c>
      <c r="L37" s="6"/>
      <c r="M37" s="6" t="s">
        <v>2184</v>
      </c>
      <c r="N37" s="6"/>
    </row>
    <row r="38" customFormat="false" ht="68.65" hidden="false" customHeight="false" outlineLevel="0" collapsed="false">
      <c r="A38" s="6" t="s">
        <v>2382</v>
      </c>
      <c r="B38" s="6" t="s">
        <v>2367</v>
      </c>
      <c r="C38" s="6" t="s">
        <v>2368</v>
      </c>
      <c r="D38" s="6" t="s">
        <v>27</v>
      </c>
      <c r="E38" s="6" t="s">
        <v>2383</v>
      </c>
      <c r="F38" s="6" t="s">
        <v>2384</v>
      </c>
      <c r="G38" s="6" t="s">
        <v>1607</v>
      </c>
      <c r="H38" s="6" t="s">
        <v>2385</v>
      </c>
      <c r="I38" s="6" t="s">
        <v>2205</v>
      </c>
      <c r="J38" s="6" t="s">
        <v>2263</v>
      </c>
      <c r="K38" s="6" t="s">
        <v>2264</v>
      </c>
      <c r="L38" s="6" t="s">
        <v>2386</v>
      </c>
      <c r="M38" s="6"/>
      <c r="N38" s="6"/>
    </row>
    <row r="39" customFormat="false" ht="46.25" hidden="false" customHeight="false" outlineLevel="0" collapsed="false">
      <c r="A39" s="6" t="s">
        <v>2387</v>
      </c>
      <c r="B39" s="6" t="s">
        <v>2367</v>
      </c>
      <c r="C39" s="6" t="s">
        <v>2368</v>
      </c>
      <c r="D39" s="6" t="s">
        <v>27</v>
      </c>
      <c r="E39" s="6" t="s">
        <v>2388</v>
      </c>
      <c r="F39" s="6" t="s">
        <v>2389</v>
      </c>
      <c r="G39" s="6" t="s">
        <v>1607</v>
      </c>
      <c r="H39" s="6" t="s">
        <v>2390</v>
      </c>
      <c r="I39" s="6" t="s">
        <v>2146</v>
      </c>
      <c r="J39" s="6" t="s">
        <v>2263</v>
      </c>
      <c r="K39" s="6" t="s">
        <v>2336</v>
      </c>
      <c r="L39" s="6"/>
      <c r="M39" s="6"/>
      <c r="N39" s="6"/>
    </row>
    <row r="40" customFormat="false" ht="35.05" hidden="false" customHeight="false" outlineLevel="0" collapsed="false">
      <c r="A40" s="6" t="s">
        <v>2190</v>
      </c>
      <c r="B40" s="6" t="s">
        <v>2367</v>
      </c>
      <c r="C40" s="6" t="s">
        <v>2368</v>
      </c>
      <c r="D40" s="6" t="s">
        <v>27</v>
      </c>
      <c r="E40" s="6" t="s">
        <v>2391</v>
      </c>
      <c r="F40" s="6" t="s">
        <v>2392</v>
      </c>
      <c r="G40" s="6" t="s">
        <v>1632</v>
      </c>
      <c r="H40" s="6" t="s">
        <v>2393</v>
      </c>
      <c r="I40" s="6" t="s">
        <v>2146</v>
      </c>
      <c r="J40" s="6" t="s">
        <v>2263</v>
      </c>
      <c r="K40" s="6" t="s">
        <v>2309</v>
      </c>
      <c r="L40" s="6"/>
      <c r="M40" s="6" t="s">
        <v>2188</v>
      </c>
      <c r="N40" s="6"/>
    </row>
    <row r="41" customFormat="false" ht="46.25" hidden="false" customHeight="false" outlineLevel="0" collapsed="false">
      <c r="A41" s="6" t="s">
        <v>2394</v>
      </c>
      <c r="B41" s="6" t="s">
        <v>2367</v>
      </c>
      <c r="C41" s="6" t="s">
        <v>2368</v>
      </c>
      <c r="D41" s="6" t="s">
        <v>27</v>
      </c>
      <c r="E41" s="6" t="s">
        <v>2395</v>
      </c>
      <c r="F41" s="6" t="s">
        <v>2396</v>
      </c>
      <c r="G41" s="6" t="s">
        <v>1607</v>
      </c>
      <c r="H41" s="6" t="s">
        <v>2397</v>
      </c>
      <c r="I41" s="6" t="s">
        <v>2205</v>
      </c>
      <c r="J41" s="6" t="s">
        <v>2263</v>
      </c>
      <c r="K41" s="6" t="s">
        <v>2264</v>
      </c>
      <c r="L41" s="6" t="s">
        <v>2398</v>
      </c>
      <c r="M41" s="6"/>
      <c r="N41" s="6"/>
    </row>
    <row r="42" customFormat="false" ht="35.05" hidden="false" customHeight="false" outlineLevel="0" collapsed="false">
      <c r="A42" s="6" t="s">
        <v>2399</v>
      </c>
      <c r="B42" s="6" t="s">
        <v>2367</v>
      </c>
      <c r="C42" s="6" t="s">
        <v>2368</v>
      </c>
      <c r="D42" s="6" t="s">
        <v>27</v>
      </c>
      <c r="E42" s="6" t="s">
        <v>2400</v>
      </c>
      <c r="F42" s="6" t="s">
        <v>2401</v>
      </c>
      <c r="G42" s="6" t="s">
        <v>1607</v>
      </c>
      <c r="H42" s="6" t="s">
        <v>2402</v>
      </c>
      <c r="I42" s="6" t="s">
        <v>2146</v>
      </c>
      <c r="J42" s="6" t="s">
        <v>2263</v>
      </c>
      <c r="K42" s="6" t="s">
        <v>2336</v>
      </c>
      <c r="L42" s="6"/>
      <c r="M42" s="6"/>
      <c r="N42" s="6"/>
    </row>
    <row r="43" customFormat="false" ht="35.05" hidden="false" customHeight="false" outlineLevel="0" collapsed="false">
      <c r="A43" s="6" t="s">
        <v>2194</v>
      </c>
      <c r="B43" s="6" t="s">
        <v>2367</v>
      </c>
      <c r="C43" s="6" t="s">
        <v>2368</v>
      </c>
      <c r="D43" s="6" t="s">
        <v>27</v>
      </c>
      <c r="E43" s="6" t="s">
        <v>2403</v>
      </c>
      <c r="F43" s="6" t="s">
        <v>2404</v>
      </c>
      <c r="G43" s="6" t="s">
        <v>1632</v>
      </c>
      <c r="H43" s="6" t="s">
        <v>2405</v>
      </c>
      <c r="I43" s="6" t="s">
        <v>2146</v>
      </c>
      <c r="J43" s="6" t="s">
        <v>2263</v>
      </c>
      <c r="K43" s="6" t="s">
        <v>2309</v>
      </c>
      <c r="L43" s="6"/>
      <c r="M43" s="6" t="s">
        <v>2192</v>
      </c>
      <c r="N43" s="6"/>
    </row>
    <row r="44" customFormat="false" ht="35.05" hidden="false" customHeight="false" outlineLevel="0" collapsed="false">
      <c r="A44" s="6" t="s">
        <v>2406</v>
      </c>
      <c r="B44" s="6" t="s">
        <v>2407</v>
      </c>
      <c r="C44" s="6" t="s">
        <v>2408</v>
      </c>
      <c r="D44" s="6" t="s">
        <v>27</v>
      </c>
      <c r="E44" s="6" t="s">
        <v>2409</v>
      </c>
      <c r="F44" s="6" t="s">
        <v>2410</v>
      </c>
      <c r="G44" s="6" t="s">
        <v>1607</v>
      </c>
      <c r="H44" s="6" t="s">
        <v>2411</v>
      </c>
      <c r="I44" s="6" t="s">
        <v>2146</v>
      </c>
      <c r="J44" s="6" t="s">
        <v>2263</v>
      </c>
      <c r="K44" s="6" t="s">
        <v>2412</v>
      </c>
      <c r="L44" s="6"/>
      <c r="M44" s="6"/>
      <c r="N44" s="6"/>
    </row>
    <row r="45" customFormat="false" ht="35.05" hidden="false" customHeight="false" outlineLevel="0" collapsed="false">
      <c r="A45" s="6" t="s">
        <v>2413</v>
      </c>
      <c r="B45" s="6" t="s">
        <v>2407</v>
      </c>
      <c r="C45" s="6" t="s">
        <v>2408</v>
      </c>
      <c r="D45" s="6" t="s">
        <v>27</v>
      </c>
      <c r="E45" s="6" t="s">
        <v>2414</v>
      </c>
      <c r="F45" s="6" t="s">
        <v>2415</v>
      </c>
      <c r="G45" s="6" t="s">
        <v>1607</v>
      </c>
      <c r="H45" s="6" t="s">
        <v>2411</v>
      </c>
      <c r="I45" s="6" t="s">
        <v>2146</v>
      </c>
      <c r="J45" s="6" t="s">
        <v>2263</v>
      </c>
      <c r="K45" s="6" t="s">
        <v>2412</v>
      </c>
      <c r="L45" s="6"/>
      <c r="M45" s="6"/>
      <c r="N45" s="6"/>
    </row>
    <row r="46" customFormat="false" ht="35.05" hidden="false" customHeight="false" outlineLevel="0" collapsed="false">
      <c r="A46" s="6" t="s">
        <v>2416</v>
      </c>
      <c r="B46" s="6" t="s">
        <v>2407</v>
      </c>
      <c r="C46" s="6" t="s">
        <v>2408</v>
      </c>
      <c r="D46" s="6" t="s">
        <v>27</v>
      </c>
      <c r="E46" s="6" t="s">
        <v>2417</v>
      </c>
      <c r="F46" s="6" t="s">
        <v>2418</v>
      </c>
      <c r="G46" s="6" t="s">
        <v>1607</v>
      </c>
      <c r="H46" s="6" t="s">
        <v>2411</v>
      </c>
      <c r="I46" s="6" t="s">
        <v>2146</v>
      </c>
      <c r="J46" s="6" t="s">
        <v>2263</v>
      </c>
      <c r="K46" s="6" t="s">
        <v>2412</v>
      </c>
      <c r="L46" s="6"/>
      <c r="M46" s="6"/>
      <c r="N46" s="6"/>
    </row>
    <row r="47" customFormat="false" ht="57.45" hidden="false" customHeight="false" outlineLevel="0" collapsed="false">
      <c r="A47" s="6" t="s">
        <v>2144</v>
      </c>
      <c r="B47" s="6" t="s">
        <v>2407</v>
      </c>
      <c r="C47" s="6" t="s">
        <v>2408</v>
      </c>
      <c r="D47" s="6" t="s">
        <v>27</v>
      </c>
      <c r="E47" s="6" t="s">
        <v>2419</v>
      </c>
      <c r="F47" s="6" t="s">
        <v>2420</v>
      </c>
      <c r="G47" s="6" t="s">
        <v>1632</v>
      </c>
      <c r="H47" s="6" t="s">
        <v>2421</v>
      </c>
      <c r="I47" s="6" t="s">
        <v>2146</v>
      </c>
      <c r="J47" s="6" t="s">
        <v>2263</v>
      </c>
      <c r="K47" s="6" t="s">
        <v>2412</v>
      </c>
      <c r="L47" s="6"/>
      <c r="M47" s="6" t="s">
        <v>2142</v>
      </c>
      <c r="N47" s="6"/>
    </row>
    <row r="48" customFormat="false" ht="35.05" hidden="false" customHeight="false" outlineLevel="0" collapsed="false">
      <c r="A48" s="6" t="s">
        <v>2422</v>
      </c>
      <c r="B48" s="6" t="s">
        <v>2407</v>
      </c>
      <c r="C48" s="6" t="s">
        <v>2408</v>
      </c>
      <c r="D48" s="6" t="s">
        <v>27</v>
      </c>
      <c r="E48" s="6" t="s">
        <v>2423</v>
      </c>
      <c r="F48" s="6" t="s">
        <v>2424</v>
      </c>
      <c r="G48" s="6" t="s">
        <v>1607</v>
      </c>
      <c r="H48" s="6" t="s">
        <v>2411</v>
      </c>
      <c r="I48" s="6" t="s">
        <v>2146</v>
      </c>
      <c r="J48" s="6" t="s">
        <v>2263</v>
      </c>
      <c r="K48" s="6" t="s">
        <v>2412</v>
      </c>
      <c r="L48" s="6"/>
      <c r="M48" s="6"/>
      <c r="N48" s="6"/>
    </row>
    <row r="49" customFormat="false" ht="35.05" hidden="false" customHeight="false" outlineLevel="0" collapsed="false">
      <c r="A49" s="6" t="s">
        <v>2425</v>
      </c>
      <c r="B49" s="6" t="s">
        <v>2407</v>
      </c>
      <c r="C49" s="6" t="s">
        <v>2408</v>
      </c>
      <c r="D49" s="6" t="s">
        <v>27</v>
      </c>
      <c r="E49" s="6" t="s">
        <v>2426</v>
      </c>
      <c r="F49" s="6" t="s">
        <v>2427</v>
      </c>
      <c r="G49" s="6" t="s">
        <v>1607</v>
      </c>
      <c r="H49" s="6" t="s">
        <v>2411</v>
      </c>
      <c r="I49" s="6" t="s">
        <v>2146</v>
      </c>
      <c r="J49" s="6" t="s">
        <v>2263</v>
      </c>
      <c r="K49" s="6" t="s">
        <v>2412</v>
      </c>
      <c r="L49" s="6"/>
      <c r="M49" s="6"/>
      <c r="N49" s="6"/>
    </row>
    <row r="50" customFormat="false" ht="35.05" hidden="false" customHeight="false" outlineLevel="0" collapsed="false">
      <c r="A50" s="6" t="s">
        <v>2428</v>
      </c>
      <c r="B50" s="6" t="s">
        <v>2407</v>
      </c>
      <c r="C50" s="6" t="s">
        <v>2408</v>
      </c>
      <c r="D50" s="6" t="s">
        <v>27</v>
      </c>
      <c r="E50" s="6" t="s">
        <v>2429</v>
      </c>
      <c r="F50" s="6" t="s">
        <v>2430</v>
      </c>
      <c r="G50" s="6" t="s">
        <v>1607</v>
      </c>
      <c r="H50" s="6" t="s">
        <v>2411</v>
      </c>
      <c r="I50" s="6" t="s">
        <v>2146</v>
      </c>
      <c r="J50" s="6" t="s">
        <v>2263</v>
      </c>
      <c r="K50" s="6" t="s">
        <v>2412</v>
      </c>
      <c r="L50" s="6"/>
      <c r="M50" s="6"/>
      <c r="N50" s="6"/>
    </row>
    <row r="51" customFormat="false" ht="35.05" hidden="false" customHeight="false" outlineLevel="0" collapsed="false">
      <c r="A51" s="6" t="s">
        <v>2431</v>
      </c>
      <c r="B51" s="6" t="s">
        <v>2407</v>
      </c>
      <c r="C51" s="6" t="s">
        <v>2408</v>
      </c>
      <c r="D51" s="6" t="s">
        <v>27</v>
      </c>
      <c r="E51" s="6" t="s">
        <v>2432</v>
      </c>
      <c r="F51" s="6" t="s">
        <v>2433</v>
      </c>
      <c r="G51" s="6" t="s">
        <v>1607</v>
      </c>
      <c r="H51" s="6" t="s">
        <v>2411</v>
      </c>
      <c r="I51" s="6" t="s">
        <v>2146</v>
      </c>
      <c r="J51" s="6" t="s">
        <v>2263</v>
      </c>
      <c r="K51" s="6" t="s">
        <v>2412</v>
      </c>
      <c r="L51" s="6"/>
      <c r="M51" s="6"/>
      <c r="N51" s="6"/>
    </row>
    <row r="52" customFormat="false" ht="35.05" hidden="false" customHeight="false" outlineLevel="0" collapsed="false">
      <c r="A52" s="6" t="s">
        <v>2434</v>
      </c>
      <c r="B52" s="6" t="s">
        <v>2407</v>
      </c>
      <c r="C52" s="6" t="s">
        <v>2408</v>
      </c>
      <c r="D52" s="6" t="s">
        <v>27</v>
      </c>
      <c r="E52" s="6" t="s">
        <v>2435</v>
      </c>
      <c r="F52" s="6" t="s">
        <v>2436</v>
      </c>
      <c r="G52" s="6" t="s">
        <v>1607</v>
      </c>
      <c r="H52" s="6" t="s">
        <v>2411</v>
      </c>
      <c r="I52" s="6" t="s">
        <v>2146</v>
      </c>
      <c r="J52" s="6" t="s">
        <v>2263</v>
      </c>
      <c r="K52" s="6" t="s">
        <v>2412</v>
      </c>
      <c r="L52" s="6"/>
      <c r="M52" s="6"/>
      <c r="N52" s="6"/>
    </row>
    <row r="53" customFormat="false" ht="35.05" hidden="false" customHeight="false" outlineLevel="0" collapsed="false">
      <c r="A53" s="6" t="s">
        <v>2437</v>
      </c>
      <c r="B53" s="6" t="s">
        <v>2407</v>
      </c>
      <c r="C53" s="6" t="s">
        <v>2408</v>
      </c>
      <c r="D53" s="6" t="s">
        <v>27</v>
      </c>
      <c r="E53" s="6" t="s">
        <v>2438</v>
      </c>
      <c r="F53" s="6" t="s">
        <v>2439</v>
      </c>
      <c r="G53" s="6" t="s">
        <v>1607</v>
      </c>
      <c r="H53" s="6" t="s">
        <v>2411</v>
      </c>
      <c r="I53" s="6" t="s">
        <v>2146</v>
      </c>
      <c r="J53" s="6" t="s">
        <v>2263</v>
      </c>
      <c r="K53" s="6" t="s">
        <v>2412</v>
      </c>
      <c r="L53" s="6"/>
      <c r="M53" s="6"/>
      <c r="N53" s="6"/>
    </row>
    <row r="54" customFormat="false" ht="35.05" hidden="false" customHeight="false" outlineLevel="0" collapsed="false">
      <c r="A54" s="6" t="s">
        <v>2440</v>
      </c>
      <c r="B54" s="6" t="s">
        <v>2407</v>
      </c>
      <c r="C54" s="6" t="s">
        <v>2408</v>
      </c>
      <c r="D54" s="6" t="s">
        <v>27</v>
      </c>
      <c r="E54" s="6" t="s">
        <v>2441</v>
      </c>
      <c r="F54" s="6" t="s">
        <v>2442</v>
      </c>
      <c r="G54" s="6" t="s">
        <v>1607</v>
      </c>
      <c r="H54" s="6" t="s">
        <v>2411</v>
      </c>
      <c r="I54" s="6" t="s">
        <v>2146</v>
      </c>
      <c r="J54" s="6" t="s">
        <v>2263</v>
      </c>
      <c r="K54" s="6" t="s">
        <v>2412</v>
      </c>
      <c r="L54" s="6"/>
      <c r="M54" s="6"/>
      <c r="N54" s="6"/>
    </row>
    <row r="55" customFormat="false" ht="35.05" hidden="false" customHeight="false" outlineLevel="0" collapsed="false">
      <c r="A55" s="6" t="s">
        <v>2443</v>
      </c>
      <c r="B55" s="6" t="s">
        <v>2407</v>
      </c>
      <c r="C55" s="6" t="s">
        <v>2408</v>
      </c>
      <c r="D55" s="6" t="s">
        <v>27</v>
      </c>
      <c r="E55" s="6" t="s">
        <v>203</v>
      </c>
      <c r="F55" s="6" t="s">
        <v>2444</v>
      </c>
      <c r="G55" s="6" t="s">
        <v>1607</v>
      </c>
      <c r="H55" s="6" t="s">
        <v>2411</v>
      </c>
      <c r="I55" s="6" t="s">
        <v>2146</v>
      </c>
      <c r="J55" s="6" t="s">
        <v>2263</v>
      </c>
      <c r="K55" s="6" t="s">
        <v>2412</v>
      </c>
      <c r="L55" s="6"/>
      <c r="M55" s="6"/>
      <c r="N55" s="6"/>
    </row>
    <row r="56" customFormat="false" ht="35.05" hidden="false" customHeight="false" outlineLevel="0" collapsed="false">
      <c r="A56" s="6" t="s">
        <v>2445</v>
      </c>
      <c r="B56" s="6" t="s">
        <v>2407</v>
      </c>
      <c r="C56" s="6" t="s">
        <v>2408</v>
      </c>
      <c r="D56" s="6" t="s">
        <v>27</v>
      </c>
      <c r="E56" s="6" t="s">
        <v>2446</v>
      </c>
      <c r="F56" s="6" t="s">
        <v>2447</v>
      </c>
      <c r="G56" s="6" t="s">
        <v>1607</v>
      </c>
      <c r="H56" s="6" t="s">
        <v>2411</v>
      </c>
      <c r="I56" s="6" t="s">
        <v>2146</v>
      </c>
      <c r="J56" s="6" t="s">
        <v>2263</v>
      </c>
      <c r="K56" s="6" t="s">
        <v>2412</v>
      </c>
      <c r="L56" s="6"/>
      <c r="M56" s="6"/>
      <c r="N56" s="6"/>
    </row>
    <row r="57" customFormat="false" ht="35.05" hidden="false" customHeight="false" outlineLevel="0" collapsed="false">
      <c r="A57" s="6" t="s">
        <v>2448</v>
      </c>
      <c r="B57" s="6" t="s">
        <v>2407</v>
      </c>
      <c r="C57" s="6" t="s">
        <v>2408</v>
      </c>
      <c r="D57" s="6" t="s">
        <v>27</v>
      </c>
      <c r="E57" s="6" t="s">
        <v>2449</v>
      </c>
      <c r="F57" s="6" t="s">
        <v>2450</v>
      </c>
      <c r="G57" s="6" t="s">
        <v>1607</v>
      </c>
      <c r="H57" s="6" t="s">
        <v>2411</v>
      </c>
      <c r="I57" s="6" t="s">
        <v>2146</v>
      </c>
      <c r="J57" s="6" t="s">
        <v>2263</v>
      </c>
      <c r="K57" s="6" t="s">
        <v>2412</v>
      </c>
      <c r="L57" s="6"/>
      <c r="M57" s="6"/>
      <c r="N57" s="6"/>
    </row>
    <row r="58" customFormat="false" ht="35.05" hidden="false" customHeight="false" outlineLevel="0" collapsed="false">
      <c r="A58" s="6" t="s">
        <v>2451</v>
      </c>
      <c r="B58" s="6" t="s">
        <v>2407</v>
      </c>
      <c r="C58" s="6" t="s">
        <v>2408</v>
      </c>
      <c r="D58" s="6" t="s">
        <v>27</v>
      </c>
      <c r="E58" s="6" t="s">
        <v>2452</v>
      </c>
      <c r="F58" s="6" t="s">
        <v>2453</v>
      </c>
      <c r="G58" s="6" t="s">
        <v>1607</v>
      </c>
      <c r="H58" s="6" t="s">
        <v>2411</v>
      </c>
      <c r="I58" s="6" t="s">
        <v>2146</v>
      </c>
      <c r="J58" s="6" t="s">
        <v>2263</v>
      </c>
      <c r="K58" s="6" t="s">
        <v>2412</v>
      </c>
      <c r="L58" s="6"/>
      <c r="M58" s="6"/>
      <c r="N58" s="6"/>
    </row>
  </sheetData>
  <autoFilter ref="A1:N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9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16"/>
  </cols>
  <sheetData>
    <row r="1" customFormat="false" ht="23.25" hidden="false" customHeight="true" outlineLevel="0" collapsed="false">
      <c r="A1" s="9" t="s">
        <v>2454</v>
      </c>
      <c r="B1" s="9" t="s">
        <v>2455</v>
      </c>
      <c r="C1" s="9" t="s">
        <v>1607</v>
      </c>
      <c r="D1" s="9" t="s">
        <v>1632</v>
      </c>
      <c r="E1" s="9" t="s">
        <v>2456</v>
      </c>
      <c r="F1" s="9" t="s">
        <v>2457</v>
      </c>
      <c r="G1" s="9" t="s">
        <v>2458</v>
      </c>
      <c r="H1" s="9" t="s">
        <v>2459</v>
      </c>
    </row>
    <row r="2" customFormat="false" ht="15" hidden="false" customHeight="true" outlineLevel="0" collapsed="false">
      <c r="A2" s="10" t="s">
        <v>2460</v>
      </c>
      <c r="B2" s="10" t="n">
        <f aca="false">COUNTIFS(Execution_Log!$D:$D,"shared",Execution_Log!$A:$A,"RUN-01")</f>
        <v>260</v>
      </c>
      <c r="C2" s="10" t="n">
        <f aca="false">COUNTIFS(Execution_Log!$D:$D,"shared",Execution_Log!$A:$A,"RUN-01",Execution_Log!$G:$G,"Pass")</f>
        <v>256</v>
      </c>
      <c r="D2" s="10" t="n">
        <f aca="false">COUNTIFS(Execution_Log!$D:$D,"shared",Execution_Log!$A:$A,"RUN-01",Execution_Log!$G:$G,"Fail")</f>
        <v>4</v>
      </c>
      <c r="E2" s="10" t="n">
        <f aca="false">COUNTIFS(Execution_Log!$D:$D,"shared",Execution_Log!$A:$A,"RUN-01",Execution_Log!$G:$G,"Skipped")</f>
        <v>0</v>
      </c>
      <c r="F2" s="11" t="n">
        <f aca="false">IF(B2=0,0,C2/B2)</f>
        <v>0.984615384615385</v>
      </c>
      <c r="G2" s="10" t="n">
        <f aca="false">COUNTIFS(Execution_Log!$D:$D,"shared",Execution_Log!$A:$A,"RUN-01",Execution_Log!$G:$G,"Fail",Execution_Log!$H:$H,"DEF-*")</f>
        <v>4</v>
      </c>
      <c r="H2" s="10" t="n">
        <f aca="false">D2-G2</f>
        <v>0</v>
      </c>
    </row>
    <row r="3" customFormat="false" ht="15" hidden="false" customHeight="true" outlineLevel="0" collapsed="false">
      <c r="A3" s="10" t="s">
        <v>2461</v>
      </c>
      <c r="B3" s="10" t="n">
        <f aca="false">COUNTIFS(Execution_Log!$D:$D,"web",Execution_Log!$A:$A,"RUN-01")</f>
        <v>47</v>
      </c>
      <c r="C3" s="10" t="n">
        <f aca="false">COUNTIFS(Execution_Log!$D:$D,"web",Execution_Log!$A:$A,"RUN-01",Execution_Log!$G:$G,"Pass")</f>
        <v>46</v>
      </c>
      <c r="D3" s="10" t="n">
        <f aca="false">COUNTIFS(Execution_Log!$D:$D,"web",Execution_Log!$A:$A,"RUN-01",Execution_Log!$G:$G,"Fail")</f>
        <v>1</v>
      </c>
      <c r="E3" s="10" t="n">
        <f aca="false">COUNTIFS(Execution_Log!$D:$D,"web",Execution_Log!$A:$A,"RUN-01",Execution_Log!$G:$G,"Skipped")</f>
        <v>0</v>
      </c>
      <c r="F3" s="11" t="n">
        <f aca="false">IF(B3=0,0,C3/B3)</f>
        <v>0.978723404255319</v>
      </c>
      <c r="G3" s="10" t="n">
        <f aca="false">COUNTIFS(Execution_Log!$D:$D,"web",Execution_Log!$A:$A,"RUN-01",Execution_Log!$G:$G,"Fail",Execution_Log!$H:$H,"DEF-*")</f>
        <v>1</v>
      </c>
      <c r="H3" s="10" t="n">
        <f aca="false">D3-G3</f>
        <v>0</v>
      </c>
    </row>
    <row r="4" customFormat="false" ht="15" hidden="false" customHeight="true" outlineLevel="0" collapsed="false">
      <c r="A4" s="10" t="s">
        <v>2462</v>
      </c>
      <c r="B4" s="10" t="n">
        <f aca="false">COUNTIFS(Execution_Log!$D:$D,"mobile",Execution_Log!$A:$A,"RUN-01")</f>
        <v>33</v>
      </c>
      <c r="C4" s="10" t="n">
        <f aca="false">COUNTIFS(Execution_Log!$D:$D,"mobile",Execution_Log!$A:$A,"RUN-01",Execution_Log!$G:$G,"Pass")</f>
        <v>33</v>
      </c>
      <c r="D4" s="10" t="n">
        <f aca="false">COUNTIFS(Execution_Log!$D:$D,"mobile",Execution_Log!$A:$A,"RUN-01",Execution_Log!$G:$G,"Fail")</f>
        <v>0</v>
      </c>
      <c r="E4" s="10" t="n">
        <f aca="false">COUNTIFS(Execution_Log!$D:$D,"mobile",Execution_Log!$A:$A,"RUN-01",Execution_Log!$G:$G,"Skipped")</f>
        <v>0</v>
      </c>
      <c r="F4" s="11" t="n">
        <f aca="false">IF(B4=0,0,C4/B4)</f>
        <v>1</v>
      </c>
      <c r="G4" s="10" t="n">
        <f aca="false">COUNTIFS(Execution_Log!$D:$D,"mobile",Execution_Log!$A:$A,"RUN-01",Execution_Log!$G:$G,"Fail",Execution_Log!$H:$H,"DEF-*")</f>
        <v>0</v>
      </c>
      <c r="H4" s="10" t="n">
        <f aca="false">D4-G4</f>
        <v>0</v>
      </c>
    </row>
    <row r="5" customFormat="false" ht="15" hidden="false" customHeight="true" outlineLevel="0" collapsed="false">
      <c r="A5" s="10" t="s">
        <v>2463</v>
      </c>
      <c r="B5" s="10" t="n">
        <f aca="false">COUNTIFS(Execution_Log!$D:$D,"api",Execution_Log!$A:$A,"RUN-01")</f>
        <v>465</v>
      </c>
      <c r="C5" s="10" t="n">
        <f aca="false">COUNTIFS(Execution_Log!$D:$D,"api",Execution_Log!$A:$A,"RUN-01",Execution_Log!$G:$G,"Pass")</f>
        <v>440</v>
      </c>
      <c r="D5" s="10" t="n">
        <f aca="false">COUNTIFS(Execution_Log!$D:$D,"api",Execution_Log!$A:$A,"RUN-01",Execution_Log!$G:$G,"Fail")</f>
        <v>25</v>
      </c>
      <c r="E5" s="10" t="n">
        <f aca="false">COUNTIFS(Execution_Log!$D:$D,"api",Execution_Log!$A:$A,"RUN-01",Execution_Log!$G:$G,"Skipped")</f>
        <v>0</v>
      </c>
      <c r="F5" s="11" t="n">
        <f aca="false">IF(B5=0,0,C5/B5)</f>
        <v>0.946236559139785</v>
      </c>
      <c r="G5" s="10" t="n">
        <f aca="false">COUNTIFS(Execution_Log!$D:$D,"api",Execution_Log!$A:$A,"RUN-01",Execution_Log!$G:$G,"Fail",Execution_Log!$H:$H,"DEF-*")</f>
        <v>25</v>
      </c>
      <c r="H5" s="10" t="n">
        <f aca="false">D5-G5</f>
        <v>0</v>
      </c>
    </row>
    <row r="6" customFormat="false" ht="15" hidden="false" customHeight="true" outlineLevel="0" collapsed="false">
      <c r="A6" s="12" t="s">
        <v>2455</v>
      </c>
      <c r="B6" s="12" t="n">
        <f aca="false">SUM(B2:B5)</f>
        <v>805</v>
      </c>
      <c r="C6" s="12" t="n">
        <f aca="false">SUM(C2:C5)</f>
        <v>775</v>
      </c>
      <c r="D6" s="12" t="n">
        <f aca="false">SUM(D2:D5)</f>
        <v>30</v>
      </c>
      <c r="E6" s="12" t="n">
        <f aca="false">SUM(E2:E5)</f>
        <v>0</v>
      </c>
      <c r="F6" s="13" t="n">
        <f aca="false">IF(B6=0,0,C6/B6)</f>
        <v>0.962732919254658</v>
      </c>
      <c r="G6" s="12" t="n">
        <f aca="false">SUM(G2:G5)</f>
        <v>30</v>
      </c>
      <c r="H6" s="12" t="n">
        <f aca="false">SUM(H2:H5)</f>
        <v>0</v>
      </c>
    </row>
    <row r="8" customFormat="false" ht="15" hidden="false" customHeight="true" outlineLevel="0" collapsed="false">
      <c r="A8" s="14" t="s">
        <v>2464</v>
      </c>
      <c r="B8" s="14"/>
      <c r="C8" s="14"/>
      <c r="D8" s="14"/>
      <c r="E8" s="14"/>
      <c r="F8" s="14"/>
      <c r="G8" s="14"/>
      <c r="H8" s="14"/>
    </row>
    <row r="9" customFormat="false" ht="15" hidden="false" customHeight="true" outlineLevel="0" collapsed="false">
      <c r="A9" s="14" t="s">
        <v>2465</v>
      </c>
      <c r="B9" s="15" t="n">
        <f aca="false">COUNTIF(FR_Register!I2:I229,"Mapped")/COUNTA(FR_Register!A2:A229)</f>
        <v>0.390350877192982</v>
      </c>
      <c r="C9" s="14"/>
      <c r="D9" s="14"/>
      <c r="E9" s="14"/>
      <c r="F9" s="14"/>
      <c r="G9" s="14"/>
      <c r="H9" s="14"/>
    </row>
    <row r="10" customFormat="false" ht="15" hidden="false" customHeight="true" outlineLevel="0" collapsed="false">
      <c r="A10" s="14" t="s">
        <v>2466</v>
      </c>
      <c r="B10" s="14" t="n">
        <f aca="false">COUNTA(Defect_Log!A2:A50)-COUNTIF(Defect_Log!H2:H50,"Closed")-COUNTIF(Defect_Log!H2:H50,"Rejected")-COUNTIF(Defect_Log!B2:B50,"WITHDRAWN")</f>
        <v>48</v>
      </c>
      <c r="C10" s="14"/>
      <c r="D10" s="14"/>
      <c r="E10" s="14"/>
      <c r="F10" s="14"/>
      <c r="G10" s="14"/>
      <c r="H10" s="14"/>
    </row>
    <row r="11" customFormat="false" ht="15" hidden="false" customHeight="true" outlineLevel="0" collapsed="false">
      <c r="A11" s="14" t="s">
        <v>2467</v>
      </c>
      <c r="B11" s="14" t="n">
        <f aca="false">COUNTIF(Defect_Log!C2:C50,"S2")</f>
        <v>3</v>
      </c>
      <c r="C11" s="14" t="s">
        <v>2049</v>
      </c>
      <c r="D11" s="14" t="n">
        <f aca="false">COUNTIF(Defect_Log!C2:C50,"S3")</f>
        <v>26</v>
      </c>
      <c r="E11" s="14" t="s">
        <v>2037</v>
      </c>
      <c r="F11" s="14" t="n">
        <f aca="false">COUNTIF(Defect_Log!C2:C50,"S4")</f>
        <v>5</v>
      </c>
      <c r="G11" s="14"/>
      <c r="H11" s="14"/>
    </row>
    <row r="14" customFormat="false" ht="15" hidden="false" customHeight="false" outlineLevel="0" collapsed="false">
      <c r="A14" s="1" t="s">
        <v>2468</v>
      </c>
    </row>
    <row r="15" customFormat="false" ht="15" hidden="false" customHeight="false" outlineLevel="0" collapsed="false">
      <c r="A15" s="1" t="s">
        <v>2469</v>
      </c>
      <c r="B15" s="1" t="n">
        <f aca="false">COUNTIFS(Execution_Log!$D:$D,"web",Execution_Log!$A:$A,"RUN-01B")</f>
        <v>21</v>
      </c>
      <c r="C15" s="1" t="n">
        <f aca="false">COUNTIFS(Execution_Log!$D:$D,"web",Execution_Log!$A:$A,"RUN-01B",Execution_Log!$G:$G,"Pass")</f>
        <v>21</v>
      </c>
      <c r="D15" s="1" t="n">
        <f aca="false">COUNTIFS(Execution_Log!$D:$D,"web",Execution_Log!$A:$A,"RUN-01B",Execution_Log!$G:$G,"Fail")</f>
        <v>0</v>
      </c>
      <c r="G15" s="1" t="n">
        <f aca="false">COUNTIFS(Execution_Log!$D:$D,"web",Execution_Log!$A:$A,"RUN-01B",Execution_Log!$G:$G,"Fail",Execution_Log!$H:$H,"DEF-*")</f>
        <v>0</v>
      </c>
      <c r="H15" s="1" t="n">
        <f aca="false">D15-G15</f>
        <v>0</v>
      </c>
    </row>
    <row r="16" customFormat="false" ht="15" hidden="false" customHeight="false" outlineLevel="0" collapsed="false">
      <c r="A16" s="1" t="s">
        <v>2470</v>
      </c>
      <c r="B16" s="1" t="n">
        <f aca="false">COUNTIFS(Execution_Log!$D:$D,"api",Execution_Log!$A:$A,"RUN-01B")</f>
        <v>23</v>
      </c>
      <c r="C16" s="1" t="n">
        <f aca="false">COUNTIFS(Execution_Log!$D:$D,"api",Execution_Log!$A:$A,"RUN-01B",Execution_Log!$G:$G,"Pass")</f>
        <v>17</v>
      </c>
      <c r="D16" s="1" t="n">
        <f aca="false">COUNTIFS(Execution_Log!$D:$D,"api",Execution_Log!$A:$A,"RUN-01B",Execution_Log!$G:$G,"Fail")</f>
        <v>6</v>
      </c>
      <c r="G16" s="1" t="n">
        <f aca="false">COUNTIFS(Execution_Log!$D:$D,"api",Execution_Log!$A:$A,"RUN-01B",Execution_Log!$G:$G,"Fail",Execution_Log!$H:$H,"DEF-*")</f>
        <v>6</v>
      </c>
      <c r="H16" s="1" t="n">
        <f aca="false">D16-G16</f>
        <v>0</v>
      </c>
    </row>
    <row r="18" customFormat="false" ht="15" hidden="false" customHeight="false" outlineLevel="0" collapsed="false">
      <c r="A18" s="1" t="s">
        <v>2471</v>
      </c>
    </row>
    <row r="19" customFormat="false" ht="15" hidden="false" customHeight="false" outlineLevel="0" collapsed="false">
      <c r="A19" s="10" t="s">
        <v>2460</v>
      </c>
      <c r="B19" s="10" t="n">
        <f aca="false">COUNTIFS(Execution_Log!$D:$D,"shared",Execution_Log!$A:$A,"RUN-02")</f>
        <v>260</v>
      </c>
      <c r="C19" s="10" t="n">
        <f aca="false">COUNTIFS(Execution_Log!$D:$D,"shared",Execution_Log!$A:$A,"RUN-02",Execution_Log!$G:$G,"Pass")</f>
        <v>256</v>
      </c>
      <c r="D19" s="10" t="n">
        <f aca="false">COUNTIFS(Execution_Log!$D:$D,"shared",Execution_Log!$A:$A,"RUN-02",Execution_Log!$G:$G,"Fail")</f>
        <v>4</v>
      </c>
      <c r="E19" s="10" t="n">
        <f aca="false">COUNTIFS(Execution_Log!$D:$D,"shared",Execution_Log!$A:$A,"RUN-02",Execution_Log!$G:$G,"Skipped")</f>
        <v>0</v>
      </c>
      <c r="F19" s="11" t="n">
        <f aca="false">IF(B19=0,0,C19/B19)</f>
        <v>0.984615384615385</v>
      </c>
      <c r="G19" s="10" t="n">
        <f aca="false">COUNTIFS(Execution_Log!$D:$D,"shared",Execution_Log!$A:$A,"RUN-02",Execution_Log!$G:$G,"Fail",Execution_Log!$H:$H,"DEF-*")</f>
        <v>4</v>
      </c>
      <c r="H19" s="10" t="n">
        <f aca="false">D19-G19</f>
        <v>0</v>
      </c>
    </row>
    <row r="20" customFormat="false" ht="15" hidden="false" customHeight="false" outlineLevel="0" collapsed="false">
      <c r="A20" s="10" t="s">
        <v>2461</v>
      </c>
      <c r="B20" s="10" t="n">
        <f aca="false">COUNTIFS(Execution_Log!$D:$D,"web",Execution_Log!$A:$A,"RUN-02")</f>
        <v>68</v>
      </c>
      <c r="C20" s="10" t="n">
        <f aca="false">COUNTIFS(Execution_Log!$D:$D,"web",Execution_Log!$A:$A,"RUN-02",Execution_Log!$G:$G,"Pass")</f>
        <v>67</v>
      </c>
      <c r="D20" s="10" t="n">
        <f aca="false">COUNTIFS(Execution_Log!$D:$D,"web",Execution_Log!$A:$A,"RUN-02",Execution_Log!$G:$G,"Fail")</f>
        <v>1</v>
      </c>
      <c r="E20" s="10" t="n">
        <f aca="false">COUNTIFS(Execution_Log!$D:$D,"web",Execution_Log!$A:$A,"RUN-02",Execution_Log!$G:$G,"Skipped")</f>
        <v>0</v>
      </c>
      <c r="F20" s="11" t="n">
        <f aca="false">IF(B20=0,0,C20/B20)</f>
        <v>0.985294117647059</v>
      </c>
      <c r="G20" s="10" t="n">
        <f aca="false">COUNTIFS(Execution_Log!$D:$D,"web",Execution_Log!$A:$A,"RUN-02",Execution_Log!$G:$G,"Fail",Execution_Log!$H:$H,"DEF-*")</f>
        <v>1</v>
      </c>
      <c r="H20" s="10" t="n">
        <f aca="false">D20-G20</f>
        <v>0</v>
      </c>
    </row>
    <row r="21" customFormat="false" ht="15" hidden="false" customHeight="false" outlineLevel="0" collapsed="false">
      <c r="A21" s="10" t="s">
        <v>2462</v>
      </c>
      <c r="B21" s="10" t="n">
        <f aca="false">COUNTIFS(Execution_Log!$D:$D,"mobile",Execution_Log!$A:$A,"RUN-02")</f>
        <v>33</v>
      </c>
      <c r="C21" s="10" t="n">
        <f aca="false">COUNTIFS(Execution_Log!$D:$D,"mobile",Execution_Log!$A:$A,"RUN-02",Execution_Log!$G:$G,"Pass")</f>
        <v>33</v>
      </c>
      <c r="D21" s="10" t="n">
        <f aca="false">COUNTIFS(Execution_Log!$D:$D,"mobile",Execution_Log!$A:$A,"RUN-02",Execution_Log!$G:$G,"Fail")</f>
        <v>0</v>
      </c>
      <c r="E21" s="10" t="n">
        <f aca="false">COUNTIFS(Execution_Log!$D:$D,"mobile",Execution_Log!$A:$A,"RUN-02",Execution_Log!$G:$G,"Skipped")</f>
        <v>0</v>
      </c>
      <c r="F21" s="11" t="n">
        <f aca="false">IF(B21=0,0,C21/B21)</f>
        <v>1</v>
      </c>
      <c r="G21" s="10" t="n">
        <f aca="false">COUNTIFS(Execution_Log!$D:$D,"mobile",Execution_Log!$A:$A,"RUN-02",Execution_Log!$G:$G,"Fail",Execution_Log!$H:$H,"DEF-*")</f>
        <v>0</v>
      </c>
      <c r="H21" s="10" t="n">
        <f aca="false">D21-G21</f>
        <v>0</v>
      </c>
    </row>
    <row r="22" customFormat="false" ht="15" hidden="false" customHeight="false" outlineLevel="0" collapsed="false">
      <c r="A22" s="10" t="s">
        <v>2463</v>
      </c>
      <c r="B22" s="10" t="n">
        <f aca="false">COUNTIFS(Execution_Log!$D:$D,"api",Execution_Log!$A:$A,"RUN-02")</f>
        <v>488</v>
      </c>
      <c r="C22" s="10" t="n">
        <f aca="false">COUNTIFS(Execution_Log!$D:$D,"api",Execution_Log!$A:$A,"RUN-02",Execution_Log!$G:$G,"Pass")</f>
        <v>457</v>
      </c>
      <c r="D22" s="10" t="n">
        <f aca="false">COUNTIFS(Execution_Log!$D:$D,"api",Execution_Log!$A:$A,"RUN-02",Execution_Log!$G:$G,"Fail")</f>
        <v>31</v>
      </c>
      <c r="E22" s="10" t="n">
        <f aca="false">COUNTIFS(Execution_Log!$D:$D,"api",Execution_Log!$A:$A,"RUN-02",Execution_Log!$G:$G,"Skipped")</f>
        <v>0</v>
      </c>
      <c r="F22" s="11" t="n">
        <f aca="false">IF(B22=0,0,C22/B22)</f>
        <v>0.936475409836066</v>
      </c>
      <c r="G22" s="10" t="n">
        <f aca="false">COUNTIFS(Execution_Log!$D:$D,"api",Execution_Log!$A:$A,"RUN-02",Execution_Log!$G:$G,"Fail",Execution_Log!$H:$H,"DEF-*")</f>
        <v>31</v>
      </c>
      <c r="H22" s="10" t="n">
        <f aca="false">D22-G22</f>
        <v>0</v>
      </c>
    </row>
    <row r="23" customFormat="false" ht="15" hidden="false" customHeight="false" outlineLevel="0" collapsed="false">
      <c r="A23" s="12" t="s">
        <v>2455</v>
      </c>
      <c r="B23" s="12" t="n">
        <f aca="false">SUM(B19:B22)</f>
        <v>849</v>
      </c>
      <c r="C23" s="12" t="n">
        <f aca="false">SUM(C19:C22)</f>
        <v>813</v>
      </c>
      <c r="D23" s="12" t="n">
        <f aca="false">SUM(D19:D22)</f>
        <v>36</v>
      </c>
      <c r="E23" s="12" t="n">
        <f aca="false">SUM(E19:E22)</f>
        <v>0</v>
      </c>
      <c r="F23" s="13" t="n">
        <f aca="false">IF(B23=0,0,C23/B23)</f>
        <v>0.957597173144876</v>
      </c>
      <c r="G23" s="12" t="n">
        <f aca="false">SUM(G19:G22)</f>
        <v>36</v>
      </c>
      <c r="H23" s="12" t="n">
        <f aca="false">SUM(H19:H22)</f>
        <v>0</v>
      </c>
    </row>
    <row r="25" customFormat="false" ht="15" hidden="false" customHeight="false" outlineLevel="0" collapsed="false">
      <c r="A25" s="1" t="s">
        <v>2472</v>
      </c>
    </row>
    <row r="26" customFormat="false" ht="15" hidden="false" customHeight="false" outlineLevel="0" collapsed="false">
      <c r="A26" s="1" t="s">
        <v>2473</v>
      </c>
    </row>
    <row r="27" customFormat="false" ht="15" hidden="false" customHeight="false" outlineLevel="0" collapsed="false">
      <c r="A27" s="1" t="s">
        <v>2474</v>
      </c>
    </row>
    <row r="28" customFormat="false" ht="15" hidden="false" customHeight="false" outlineLevel="0" collapsed="false">
      <c r="A28" s="1" t="s">
        <v>2475</v>
      </c>
    </row>
    <row r="30" customFormat="false" ht="15" hidden="false" customHeight="false" outlineLevel="0" collapsed="false">
      <c r="A30" s="1" t="s">
        <v>2476</v>
      </c>
    </row>
    <row r="31" customFormat="false" ht="15" hidden="false" customHeight="false" outlineLevel="0" collapsed="false">
      <c r="A31" s="9" t="s">
        <v>2254</v>
      </c>
      <c r="B31" s="9" t="s">
        <v>2455</v>
      </c>
      <c r="C31" s="9" t="s">
        <v>1607</v>
      </c>
      <c r="D31" s="9" t="s">
        <v>1632</v>
      </c>
    </row>
    <row r="32" customFormat="false" ht="15" hidden="false" customHeight="false" outlineLevel="0" collapsed="false">
      <c r="A32" s="10" t="s">
        <v>81</v>
      </c>
      <c r="B32" s="10" t="n">
        <f aca="false">COUNTIF(Manual_Results!$B:$B,A32)</f>
        <v>14</v>
      </c>
      <c r="C32" s="10" t="n">
        <f aca="false">COUNTIFS(Manual_Results!$B:$B,A32,Manual_Results!$G:$G,"Pass")</f>
        <v>1</v>
      </c>
      <c r="D32" s="10" t="n">
        <f aca="false">COUNTIFS(Manual_Results!$B:$B,A32,Manual_Results!$G:$G,"Fail")</f>
        <v>13</v>
      </c>
    </row>
    <row r="33" customFormat="false" ht="15" hidden="false" customHeight="false" outlineLevel="0" collapsed="false">
      <c r="A33" s="10" t="s">
        <v>226</v>
      </c>
      <c r="B33" s="10" t="n">
        <f aca="false">COUNTIF(Manual_Results!$B:$B,A33)</f>
        <v>10</v>
      </c>
      <c r="C33" s="10" t="n">
        <f aca="false">COUNTIFS(Manual_Results!$B:$B,A33,Manual_Results!$G:$G,"Pass")</f>
        <v>3</v>
      </c>
      <c r="D33" s="10" t="n">
        <f aca="false">COUNTIFS(Manual_Results!$B:$B,A33,Manual_Results!$G:$G,"Fail")</f>
        <v>7</v>
      </c>
    </row>
    <row r="34" customFormat="false" ht="15" hidden="false" customHeight="false" outlineLevel="0" collapsed="false">
      <c r="A34" s="10" t="s">
        <v>2331</v>
      </c>
      <c r="B34" s="10" t="n">
        <f aca="false">COUNTIF(Manual_Results!$B:$B,A34)</f>
        <v>8</v>
      </c>
      <c r="C34" s="10" t="n">
        <f aca="false">COUNTIFS(Manual_Results!$B:$B,A34,Manual_Results!$G:$G,"Pass")</f>
        <v>7</v>
      </c>
      <c r="D34" s="10" t="n">
        <f aca="false">COUNTIFS(Manual_Results!$B:$B,A34,Manual_Results!$G:$G,"Fail")</f>
        <v>1</v>
      </c>
    </row>
    <row r="35" customFormat="false" ht="15" hidden="false" customHeight="false" outlineLevel="0" collapsed="false">
      <c r="A35" s="10" t="s">
        <v>2367</v>
      </c>
      <c r="B35" s="10" t="n">
        <f aca="false">COUNTIF(Manual_Results!$B:$B,A35)</f>
        <v>10</v>
      </c>
      <c r="C35" s="10" t="n">
        <f aca="false">COUNTIFS(Manual_Results!$B:$B,A35,Manual_Results!$G:$G,"Pass")</f>
        <v>5</v>
      </c>
      <c r="D35" s="10" t="n">
        <f aca="false">COUNTIFS(Manual_Results!$B:$B,A35,Manual_Results!$G:$G,"Fail")</f>
        <v>5</v>
      </c>
    </row>
    <row r="36" customFormat="false" ht="15" hidden="false" customHeight="false" outlineLevel="0" collapsed="false">
      <c r="A36" s="10" t="s">
        <v>2407</v>
      </c>
      <c r="B36" s="10" t="n">
        <f aca="false">COUNTIF(Manual_Results!$B:$B,A36)</f>
        <v>15</v>
      </c>
      <c r="C36" s="10" t="n">
        <f aca="false">COUNTIFS(Manual_Results!$B:$B,A36,Manual_Results!$G:$G,"Pass")</f>
        <v>14</v>
      </c>
      <c r="D36" s="10" t="n">
        <f aca="false">COUNTIFS(Manual_Results!$B:$B,A36,Manual_Results!$G:$G,"Fail")</f>
        <v>1</v>
      </c>
    </row>
    <row r="37" customFormat="false" ht="15" hidden="false" customHeight="false" outlineLevel="0" collapsed="false">
      <c r="A37" s="12" t="s">
        <v>2455</v>
      </c>
      <c r="B37" s="12" t="n">
        <f aca="false">SUM(B32:B36)</f>
        <v>57</v>
      </c>
      <c r="C37" s="12" t="n">
        <f aca="false">SUM(C32:C36)</f>
        <v>30</v>
      </c>
      <c r="D37" s="12" t="n">
        <f aca="false">SUM(D32:D36)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2026-10-18T12:46:26Z</dcterms:created>
  <dc:creator>openpyxl</dc:creator>
  <dc:description/>
  <dc:language>en-US</dc:language>
  <cp:lastModifiedBy/>
  <dcterms:modified xsi:type="dcterms:W3CDTF">2026-10-21T06:39:44Z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