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Checklist" sheetId="2" state="visible" r:id="rId4"/>
    <sheet name="Progress" sheetId="3" state="visible" r:id="rId5"/>
    <sheet name="New_defects" sheetId="4" state="visible" r:id="rId6"/>
  </sheets>
  <definedNames>
    <definedName function="false" hidden="true" localSheetId="1" name="_xlnm._FilterDatabase" vbProcedure="false">Checklist!$A$1:$R$58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<sst xmlns="http://schemas.openxmlformats.org/spreadsheetml/2006/main" count="992" uniqueCount="423">
  <si>
    <t xml:space="preserve">PlantPal+ Manual Test Checklist</t>
  </si>
  <si>
    <t xml:space="preserve">Execute every case by hand. The Demonstration and Inspection rows are generated from the SRS (each FR whose Verification method is Demonstration or Inspection); refine their steps from the FR text before running.</t>
  </si>
  <si>
    <t xml:space="preserve">Rules for every manual row</t>
  </si>
  <si>
    <t xml:space="preserve">Timing: fill in the checklist while executing each case, not afterwards. Backfilling from memory is not acceptable.</t>
  </si>
  <si>
    <t xml:space="preserve">Evidence: a screenshot is mandatory for every Fail. For Passes, take one for Must-priority cases, and a screen recording for multi-step flows.</t>
  </si>
  <si>
    <t xml:space="preserve">Naming: MT-PLT-012_FAIL_2026-10-18.png, stored in 04_testing/evidence/ (pattern: &lt;test id&gt;_&lt;RESULT&gt;_&lt;date&gt;.png).</t>
  </si>
  <si>
    <t xml:space="preserve">Retests: a retest is a new row with a new date and build. The original row is never edited. Put the original Test ID in the "Retest of" column.</t>
  </si>
  <si>
    <t xml:space="preserve">Environment: record the URL or local build, the browser or device, and the OS version on every row.</t>
  </si>
  <si>
    <t xml:space="preserve">Legend</t>
  </si>
  <si>
    <t xml:space="preserve">Yellow cells (Result onward) are yours to fill in.</t>
  </si>
  <si>
    <t xml:space="preserve">Example of a completed row: Result = Fail | Date = 2026-10-18 | Build = local, commit abc1234 | Environment = http://localhost:5173, Chrome 130, Windows 11 | Evidence = MT-SEC-003_FAIL_2026-10-18.png | Defect = DEF-021 | Retest of = (blank)</t>
  </si>
  <si>
    <t xml:space="preserve">Scope: 57 Must-priority cases (Demonstration 14, Inspection 10, Security 8, Compliance 10, UAT 15).</t>
  </si>
  <si>
    <t xml:space="preserve">Executed scope (2026-10-21): 57 Must-priority cases. New defects found on 2026-10-21 are listed in the New_defects sheet (DEF-038 onwards).</t>
  </si>
  <si>
    <t xml:space="preserve">Test ID</t>
  </si>
  <si>
    <t xml:space="preserve">Area</t>
  </si>
  <si>
    <t xml:space="preserve">Requirement</t>
  </si>
  <si>
    <t xml:space="preserve">Priority</t>
  </si>
  <si>
    <t xml:space="preserve">Title</t>
  </si>
  <si>
    <t xml:space="preserve">Preconditions</t>
  </si>
  <si>
    <t xml:space="preserve">Steps</t>
  </si>
  <si>
    <t xml:space="preserve">Expected result</t>
  </si>
  <si>
    <t xml:space="preserve">Result</t>
  </si>
  <si>
    <t xml:space="preserve">Actual result</t>
  </si>
  <si>
    <t xml:space="preserve">Date</t>
  </si>
  <si>
    <t xml:space="preserve">Build / commit</t>
  </si>
  <si>
    <t xml:space="preserve">URL or local build</t>
  </si>
  <si>
    <t xml:space="preserve">Browser / device</t>
  </si>
  <si>
    <t xml:space="preserve">OS version</t>
  </si>
  <si>
    <t xml:space="preserve">Evidence file</t>
  </si>
  <si>
    <t xml:space="preserve">Defect ID</t>
  </si>
  <si>
    <t xml:space="preserve">Retest of</t>
  </si>
  <si>
    <t xml:space="preserve">MT-DEM-001</t>
  </si>
  <si>
    <t xml:space="preserve">Demonstration</t>
  </si>
  <si>
    <t xml:space="preserve">FR-ACC-17</t>
  </si>
  <si>
    <t xml:space="preserve">Must</t>
  </si>
  <si>
    <t xml:space="preserve">Record and resume onboarding progress</t>
  </si>
  <si>
    <t xml:space="preserve">Build running; test account signed in.</t>
  </si>
  <si>
    <t xml:space="preserve">1. Open the module spec section for FR-ACC-17 and read the requirement statement and acceptance criteria.
2. Perform the demonstration it describes, as the actor named in the requirement.
3. Compare what you observe with each stated criterion. REFINE these steps from the FR text before executing.</t>
  </si>
  <si>
    <t xml:space="preserve">Observed behaviour satisfies every criterion in FR-ACC-17.</t>
  </si>
  <si>
    <t xml:space="preserve">Fail</t>
  </si>
  <si>
    <t xml:space="preserve">Registered, moved from step 1 to step 2 of onboarding, reloaded the page: wizard restarted at Step 1 of 2. Database check: profiles.onboarding_last_step and onboarding_completed_at are NULL after step 1. No API route reads or writes onboarding progress (see comment at top of OnboardingPage.tsx).</t>
  </si>
  <si>
    <t xml:space="preserve">2026-10-21</t>
  </si>
  <si>
    <t xml:space="preserve">PlantPal-Plus-main_with_testing_v2.zip (no commit hash)</t>
  </si>
  <si>
    <t xml:space="preserve">Local build in cloud sandbox: http://localhost:5173 (API :4000, PostgreSQL 16, NODE_ENV=development)</t>
  </si>
  <si>
    <t xml:space="preserve">Headless Chromium (Playwright, chromium-1194)</t>
  </si>
  <si>
    <t xml:space="preserve">Linux (cloud sandbox), Node 22.22</t>
  </si>
  <si>
    <t xml:space="preserve">MT-DEM-001_FAIL_2026-10-21.png</t>
  </si>
  <si>
    <t xml:space="preserve">DEF-038</t>
  </si>
  <si>
    <t xml:space="preserve">MT-DEM-002</t>
  </si>
  <si>
    <t xml:space="preserve">FR-DSH-02</t>
  </si>
  <si>
    <t xml:space="preserve">Header greeting and date label</t>
  </si>
  <si>
    <t xml:space="preserve">1. Open the module spec section for FR-DSH-02 and read the requirement statement and acceptance criteria.
2. Perform the demonstration it describes, as the actor named in the requirement.
3. Compare what you observe with each stated criterion. REFINE these steps from the FR text before executing.</t>
  </si>
  <si>
    <t xml:space="preserve">Observed behaviour satisfies every criterion in FR-DSH-02.</t>
  </si>
  <si>
    <t xml:space="preserve">Pass</t>
  </si>
  <si>
    <t xml:space="preserve">Dashboard header shows weekday-and-date label ('WEDNESDAY 21 OCTOBER 2026'), a time-of-day greeting and the display name ('Good morning, run1'). The dashboard has no date navigation, so only today's date label could be observed (see MT-DEM-004).</t>
  </si>
  <si>
    <t xml:space="preserve">MT-DEM-002_PASS_2026-10-21.png</t>
  </si>
  <si>
    <t xml:space="preserve">MT-DEM-003</t>
  </si>
  <si>
    <t xml:space="preserve">FR-DSH-10</t>
  </si>
  <si>
    <t xml:space="preserve">Quick-add action set</t>
  </si>
  <si>
    <t xml:space="preserve">1. Open the module spec section for FR-DSH-10 and read the requirement statement and acceptance criteria.
2. Perform the demonstration it describes, as the actor named in the requirement.
3. Compare what you observe with each stated criterion. REFINE these steps from the FR text before executing.</t>
  </si>
  <si>
    <t xml:space="preserve">Observed behaviour satisfies every criterion in FR-DSH-10.</t>
  </si>
  <si>
    <t xml:space="preserve">With all three modules enabled the dashboard shows no quick-add control set. The only logging controls are a single 'Log meal' row in the Today list and 'Open plants / fitness / nutrition' links. BR-DSH-09 requires up to 5 actions (Log water +1 glass, Log a meal, Log a workout, Water a plant, Log steps).</t>
  </si>
  <si>
    <t xml:space="preserve">MT-DEM-003_FAIL_2026-10-21.png</t>
  </si>
  <si>
    <t xml:space="preserve">DEF-039</t>
  </si>
  <si>
    <t xml:space="preserve">MT-DEM-004</t>
  </si>
  <si>
    <t xml:space="preserve">FR-DSH-12</t>
  </si>
  <si>
    <t xml:space="preserve">Today shortcut</t>
  </si>
  <si>
    <t xml:space="preserve">1. Open the module spec section for FR-DSH-12 and read the requirement statement and acceptance criteria.
2. Perform the demonstration it describes, as the actor named in the requirement.
3. Compare what you observe with each stated criterion. REFINE these steps from the FR text before executing.</t>
  </si>
  <si>
    <t xml:space="preserve">Observed behaviour satisfies every criterion in FR-DSH-12.</t>
  </si>
  <si>
    <t xml:space="preserve">The dashboard has no date navigation and no Today control (DashboardPage.tsx has no date state or navigation; none appears in the UI). The API accepts ?date= but the user cannot browse other days, so the control that returns to today and hides on today cannot be shown. (Nutrition has previous/next day arrows; the dashboard does not.)</t>
  </si>
  <si>
    <t xml:space="preserve">MT-DEM-004_FAIL_2026-10-21_src-MT-DEM-002.png</t>
  </si>
  <si>
    <t xml:space="preserve">DEF-040</t>
  </si>
  <si>
    <t xml:space="preserve">MT-DEM-005</t>
  </si>
  <si>
    <t xml:space="preserve">FR-DSH-16</t>
  </si>
  <si>
    <t xml:space="preserve">Empty and all-caught-up states</t>
  </si>
  <si>
    <t xml:space="preserve">1. Open the module spec section for FR-DSH-16 and read the requirement statement and acceptance criteria.
2. Perform the demonstration it describes, as the actor named in the requirement.
3. Compare what you observe with each stated criterion. REFINE these steps from the FR text before executing.</t>
  </si>
  <si>
    <t xml:space="preserve">Observed behaviour satisfies every criterion in FR-DSH-16.</t>
  </si>
  <si>
    <t xml:space="preserve">Fresh account (no plants, workouts or meals): dashboard shows module cards and a generic 'Log a meal' row only. The BR-DSH-10 empty states ('No plants yet / Add your first plant and we will work out when to water it / Add a plant', 'No workouts logged', 'No meals logged' with time-of-day call to action) do not appear on the dashboard. (The module pages have their own empty states.)</t>
  </si>
  <si>
    <t xml:space="preserve">MT-DEM-005_FAIL_2026-10-21.png</t>
  </si>
  <si>
    <t xml:space="preserve">DEF-041</t>
  </si>
  <si>
    <t xml:space="preserve">MT-DEM-007</t>
  </si>
  <si>
    <t xml:space="preserve">FR-DSH-22</t>
  </si>
  <si>
    <t xml:space="preserve">Responsive layout</t>
  </si>
  <si>
    <t xml:space="preserve">1. Open the module spec section for FR-DSH-22 and read the requirement statement and acceptance criteria.
2. Perform the demonstration it describes, as the actor named in the requirement.
3. Compare what you observe with each stated criterion. REFINE these steps from the FR text before executing.</t>
  </si>
  <si>
    <t xml:space="preserve">Observed behaviour satisfies every criterion in FR-DSH-22.</t>
  </si>
  <si>
    <t xml:space="preserve">Measured by resizing the browser. 1280 px and 1600 px: three columns (rings card, stat cards, modules in three). 1100 px and 1000 px: stacked layout. 700 px (below 768): the stat cards and module cards show two columns, but the requirement is one column below 768 px (the cards use Tailwind sm:grid-cols-2, which starts at 640 px). 600 px: one column.</t>
  </si>
  <si>
    <t xml:space="preserve">MT-DEM-007_FAIL_2026-10-21_700.png; MT-DEM-007_FAIL_2026-10-21_1100.png; MT-DEM-007_FAIL_2026-10-21_1300.png</t>
  </si>
  <si>
    <t xml:space="preserve">DEF-043</t>
  </si>
  <si>
    <t xml:space="preserve">MT-DEM-008</t>
  </si>
  <si>
    <t xml:space="preserve">FR-SET-01</t>
  </si>
  <si>
    <t xml:space="preserve">Settings hub information architecture</t>
  </si>
  <si>
    <t xml:space="preserve">1. Open the module spec section for FR-SET-01 and read the requirement statement and acceptance criteria.
2. Perform the demonstration it describes, as the actor named in the requirement.
3. Compare what you observe with each stated criterion. REFINE these steps from the FR text before executing.</t>
  </si>
  <si>
    <t xml:space="preserve">Observed behaviour satisfies every criterion in FR-SET-01.</t>
  </si>
  <si>
    <t xml:space="preserve">Settings is a single scrolling page with sections Account, Modules, Plant care, Notifications, Appearance, Accessibility, Privacy and Danger zone. BR-SET-01 requires nine sections in order: Profile, Preferences, Modules, Notifications, Integrations, Accessibility, Your data, Security, About and legal. Missing: Profile, Integrations, Your data, Security, About and legal. It is reachable in one tap from the dashboard.</t>
  </si>
  <si>
    <t xml:space="preserve">MT-DEM-008_FAIL_2026-10-21.png</t>
  </si>
  <si>
    <t xml:space="preserve">DEF-044</t>
  </si>
  <si>
    <t xml:space="preserve">MT-DEM-009</t>
  </si>
  <si>
    <t xml:space="preserve">FR-SET-02</t>
  </si>
  <si>
    <t xml:space="preserve">Profile entry point</t>
  </si>
  <si>
    <t xml:space="preserve">1. Open the module spec section for FR-SET-02 and read the requirement statement and acceptance criteria.
2. Perform the demonstration it describes, as the actor named in the requirement.
3. Compare what you observe with each stated criterion. REFINE these steps from the FR text before executing.</t>
  </si>
  <si>
    <t xml:space="preserve">Observed behaviour satisfies every criterion in FR-SET-02.</t>
  </si>
  <si>
    <t xml:space="preserve">Settings has no profile entry point. The Account section shows e-mail and status, and the only related control, 'Set up preferences', links to /onboarding (SettingsPage.tsx l.490), which edits habits, units, hemisphere and week start, not the profile.</t>
  </si>
  <si>
    <t xml:space="preserve">MT-DEM-009_FAIL_2026-10-21.png</t>
  </si>
  <si>
    <t xml:space="preserve">DEF-045</t>
  </si>
  <si>
    <t xml:space="preserve">MT-DEM-013</t>
  </si>
  <si>
    <t xml:space="preserve">FR-FIT-06</t>
  </si>
  <si>
    <t xml:space="preserve">Estimate presentation and disclaimer</t>
  </si>
  <si>
    <t xml:space="preserve">1. Open the module spec section for FR-FIT-06 and read the requirement statement and acceptance criteria.
2. Perform the demonstration it describes, as the actor named in the requirement.
3. Compare what you observe with each stated criterion. REFINE these steps from the FR text before executing.</t>
  </si>
  <si>
    <t xml:space="preserve">Observed behaviour satisfies every criterion in FR-FIT-06.</t>
  </si>
  <si>
    <t xml:space="preserve">Logged a Run, 45 min, moderate. The energy is shown as '~515 kcal' (workout log) and '515 kcal estimated' (summary). No plus-or-minus error band, no low-to-high range and no non-medical-estimate disclaimer is shown anywhere on the Fitness page.</t>
  </si>
  <si>
    <t xml:space="preserve">MT-DEM-013_FAIL_2026-10-21.png</t>
  </si>
  <si>
    <t xml:space="preserve">DEF-048</t>
  </si>
  <si>
    <t xml:space="preserve">MT-DEM-015</t>
  </si>
  <si>
    <t xml:space="preserve">FR-GAM-16</t>
  </si>
  <si>
    <t xml:space="preserve">Unlock experience</t>
  </si>
  <si>
    <t xml:space="preserve">1. Open the module spec section for FR-GAM-16 and read the requirement statement and acceptance criteria.
2. Perform the demonstration it describes, as the actor named in the requirement.
3. Compare what you observe with each stated criterion. REFINE these steps from the FR text before executing.</t>
  </si>
  <si>
    <t xml:space="preserve">Observed behaviour satisfies every criterion in FR-GAM-16.</t>
  </si>
  <si>
    <t xml:space="preserve">Logged the first workout. The only feedback was a generic 'Logged Run workout' toast; no unlock celebration was shown. The unlock appears only later on the Achievements page ('Unlocked Oct 21, 2026'). GET /api/v1/notifications returns 404 and there is no notification centre in the navigation, so no permanent notification-centre entry exists. The push request was not observed.</t>
  </si>
  <si>
    <t xml:space="preserve">MT-DEM-015_FAIL_2026-10-21_src-MT-DEM-016.png; MT-DEM-015_FAIL_2026-10-21_src-MT-DEM-019.txt</t>
  </si>
  <si>
    <t xml:space="preserve">DEF-049</t>
  </si>
  <si>
    <t xml:space="preserve">MT-DEM-016</t>
  </si>
  <si>
    <t xml:space="preserve">FR-GAM-17</t>
  </si>
  <si>
    <t xml:space="preserve">Trophy gallery</t>
  </si>
  <si>
    <t xml:space="preserve">1. Open the module spec section for FR-GAM-17 and read the requirement statement and acceptance criteria.
2. Perform the demonstration it describes, as the actor named in the requirement.
3. Compare what you observe with each stated criterion. REFINE these steps from the FR text before executing.</t>
  </si>
  <si>
    <t xml:space="preserve">Observed behaviour satisfies every criterion in FR-GAM-17.</t>
  </si>
  <si>
    <t xml:space="preserve">Achievements page lists the 16 seeded badges (see DEF-028) with only two states: LOCKED, or 'Unlocked &lt;date&gt;'. No IN_PROGRESS state and no progress percentage is shown for locked badges (API returns progress_pct only for unlocked rows, value 100).</t>
  </si>
  <si>
    <t xml:space="preserve">MT-DEM-016_FAIL_2026-10-21.png</t>
  </si>
  <si>
    <t xml:space="preserve">DEF-050</t>
  </si>
  <si>
    <t xml:space="preserve">MT-DEM-017</t>
  </si>
  <si>
    <t xml:space="preserve">FR-NOT-19</t>
  </si>
  <si>
    <t xml:space="preserve">Deep links</t>
  </si>
  <si>
    <t xml:space="preserve">1. Open the module spec section for FR-NOT-19 and read the requirement statement and acceptance criteria.
2. Perform the demonstration it describes, as the actor named in the requirement.
3. Compare what you observe with each stated criterion. REFINE these steps from the FR text before executing.</t>
  </si>
  <si>
    <t xml:space="preserve">Observed behaviour satisfies every criterion in FR-NOT-19.</t>
  </si>
  <si>
    <t xml:space="preserve">The push message built by the reminder service carries only data: { reminder_id } (reminderService.ts l.50). No deep link is included. A search of api/src and mobile/src finds no deep_link, deeplink or Linking route table. Code review plus source evidence; no device was available to tap a notification.</t>
  </si>
  <si>
    <t xml:space="preserve">MT-DEM-017_FAIL_2026-10-21.txt</t>
  </si>
  <si>
    <t xml:space="preserve">DEF-051</t>
  </si>
  <si>
    <t xml:space="preserve">MT-DEM-028</t>
  </si>
  <si>
    <t xml:space="preserve">FR-SYS-06</t>
  </si>
  <si>
    <t xml:space="preserve">Visible sync state and the needs-attention queue</t>
  </si>
  <si>
    <t xml:space="preserve">1. Open the module spec section for FR-SYS-06 and read the requirement statement and acceptance criteria.
2. Perform the demonstration it describes, as the actor named in the requirement.
3. Compare what you observe with each stated criterion. REFINE these steps from the FR text before executing.</t>
  </si>
  <si>
    <t xml:space="preserve">Observed behaviour satisfies every criterion in FR-SYS-06.</t>
  </si>
  <si>
    <t xml:space="preserve">Web client, browser set offline, tapped +250 ml: the app shows an error ('NOT SAVED - Water not logged. Check your connection and try again.'). No SYNCED / PENDING / SYNCING / FAILED state, no aggregate sync indicator and no 'Needs attention' screen. The mobile app's offline queue was not exercised.</t>
  </si>
  <si>
    <t xml:space="preserve">MT-DEM-028_FAIL_2026-10-21.png</t>
  </si>
  <si>
    <t xml:space="preserve">DEF-058</t>
  </si>
  <si>
    <t xml:space="preserve">MT-DEM-029</t>
  </si>
  <si>
    <t xml:space="preserve">FR-SYS-07</t>
  </si>
  <si>
    <t xml:space="preserve">Connectivity-required operation guardrails</t>
  </si>
  <si>
    <t xml:space="preserve">1. Open the module spec section for FR-SYS-07 and read the requirement statement and acceptance criteria.
2. Perform the demonstration it describes, as the actor named in the requirement.
3. Compare what you observe with each stated criterion. REFINE these steps from the FR text before executing.</t>
  </si>
  <si>
    <t xml:space="preserve">Observed behaviour satisfies every criterion in FR-SYS-07.</t>
  </si>
  <si>
    <t xml:space="preserve">Web client, browser set offline, opened Add plant and entered a nickname: the Add plant button stays enabled; there is no inline reason ('Adding a plant needs an internet connection...') and no Try again control.</t>
  </si>
  <si>
    <t xml:space="preserve">MT-DEM-029_FAIL_2026-10-21.png</t>
  </si>
  <si>
    <t xml:space="preserve">DEF-059</t>
  </si>
  <si>
    <t xml:space="preserve">MT-INS-001</t>
  </si>
  <si>
    <t xml:space="preserve">Inspection</t>
  </si>
  <si>
    <t xml:space="preserve">FR-ACC-23</t>
  </si>
  <si>
    <t xml:space="preserve">Enforce server-side ownership authorisation</t>
  </si>
  <si>
    <t xml:space="preserve">Source, configuration and documents available.</t>
  </si>
  <si>
    <t xml:space="preserve">1. Open the artefact the requirement names (code, config, document or UI text).
2. Check each statement in FR-ACC-23 against it. REFINE these steps from the FR text before executing.
3. Record file, line or screen as evidence.</t>
  </si>
  <si>
    <t xml:space="preserve">The artefact conforms to FR-ACC-23.</t>
  </si>
  <si>
    <t xml:space="preserve">requestUser.ts takes user id only from the verified token; plantsRepo.ts queries filter on user_id (e.g. l.107); foreign/missing plants return notFound() (plantsController.ts l.107,148,159). Id-only queries found are in auth, reminder-worker and purge code (authRepo.ts, remindersRepo.ts l.205-227, purgeRepo.ts l.128), not user-facing reads. Fitness and nutrition repos only spot-checked. NOTE: the issued JWT has iss=plantpal-api and aud=plantpal-clients, but FR-ACC-23 specifies iss=plantpal-plus and aud=plantpal-api. Ownership enforcement works (see MT-SEC-001); tester to decide whether this claim mismatch should downgrade this row to Fail.</t>
  </si>
  <si>
    <t xml:space="preserve">2026-10-19</t>
  </si>
  <si>
    <t xml:space="preserve">Source review of zip; no running build</t>
  </si>
  <si>
    <t xml:space="preserve">n/a (code review)</t>
  </si>
  <si>
    <t xml:space="preserve">n/a</t>
  </si>
  <si>
    <t xml:space="preserve">MT-INS-002</t>
  </si>
  <si>
    <t xml:space="preserve">FR-SET-25</t>
  </si>
  <si>
    <t xml:space="preserve">Language placeholder and internationalisation readiness</t>
  </si>
  <si>
    <t xml:space="preserve">1. Open the artefact the requirement names (code, config, document or UI text).
2. Check each statement in FR-SET-25 against it. REFINE these steps from the FR text before executing.
3. Record file, line or screen as evidence.</t>
  </si>
  <si>
    <t xml:space="preserve">The artefact conforms to FR-SET-25.</t>
  </si>
  <si>
    <t xml:space="preserve">No "English (en)" disabled language selector, no "More languages are planned" caption and no locale catalogue found in web/src or mobile/src (searched for all three).</t>
  </si>
  <si>
    <t xml:space="preserve">DEF-024</t>
  </si>
  <si>
    <t xml:space="preserve">MT-INS-003</t>
  </si>
  <si>
    <t xml:space="preserve">FR-FIT-01</t>
  </si>
  <si>
    <t xml:space="preserve">Seeded activity-type catalogue</t>
  </si>
  <si>
    <t xml:space="preserve">1. Open the artefact the requirement names (code, config, document or UI text).
2. Check each statement in FR-FIT-01 against it. REFINE these steps from the FR text before executing.
3. Record file, line or screen as evidence.</t>
  </si>
  <si>
    <t xml:space="preserve">The artefact conforms to FR-FIT-01.</t>
  </si>
  <si>
    <t xml:space="preserve">The nine activity codes exist only as a CHECK constraint (003-fitness-schema.sql l.20, l.46). No activity-type catalogue table with three MET values, error-band percentage and distance flag per type.</t>
  </si>
  <si>
    <t xml:space="preserve">DEF-025</t>
  </si>
  <si>
    <t xml:space="preserve">MT-INS-004</t>
  </si>
  <si>
    <t xml:space="preserve">FR-FIT-11</t>
  </si>
  <si>
    <t xml:space="preserve">Seeded strength-exercise catalogue</t>
  </si>
  <si>
    <t xml:space="preserve">1. Open the artefact the requirement names (code, config, document or UI text).
2. Check each statement in FR-FIT-11 against it. REFINE these steps from the FR text before executing.
3. Record file, line or screen as evidence.</t>
  </si>
  <si>
    <t xml:space="preserve">The artefact conforms to FR-FIT-11.</t>
  </si>
  <si>
    <t xml:space="preserve">db/seeds/002-exercises.sql seeds 20 exercises (SRS requires at least 40); only 10 are strength exercises. Confirmed on a freshly seeded database: SELECT count(*) FROM exercises = 20.</t>
  </si>
  <si>
    <t xml:space="preserve">DEF-026</t>
  </si>
  <si>
    <t xml:space="preserve">MT-INS-006</t>
  </si>
  <si>
    <t xml:space="preserve">FR-GAM-10</t>
  </si>
  <si>
    <t xml:space="preserve">Server-only authority over gamification state</t>
  </si>
  <si>
    <t xml:space="preserve">1. Open the artefact the requirement names (code, config, document or UI text).
2. Check each statement in FR-GAM-10 against it. REFINE these steps from the FR text before executing.
3. Record file, line or screen as evidence.</t>
  </si>
  <si>
    <t xml:space="preserve">The artefact conforms to FR-GAM-10.</t>
  </si>
  <si>
    <t xml:space="preserve">Achievements routes are GET / and GET /streaks plus POST /seen only (achievementsRoutes.ts l.18-20). markSeen reads no request body and uses only the user id (achievementsController.ts l.27-31). No endpoint accepts client-supplied streak, unlock, progress or points.</t>
  </si>
  <si>
    <t xml:space="preserve">MT-INS-007</t>
  </si>
  <si>
    <t xml:space="preserve">FR-GAM-11</t>
  </si>
  <si>
    <t xml:space="preserve">Seeded achievement catalogue</t>
  </si>
  <si>
    <t xml:space="preserve">1. Open the artefact the requirement names (code, config, document or UI text).
2. Check each statement in FR-GAM-11 against it. REFINE these steps from the FR text before executing.
3. Record file, line or screen as evidence.</t>
  </si>
  <si>
    <t xml:space="preserve">The artefact conforms to FR-GAM-11.</t>
  </si>
  <si>
    <t xml:space="preserve">db/seeds/003-achievements.sql seeds 16 achievements (SRS requires 46). Categories used are PLANT_CARE, FITNESS, NUTRITION, SHARED, not the six in the SRS. Points are 10/25/50(one Silver)/100/500, not 10/25/50. No secret flag column in the insert. Confirmed on a freshly seeded database: SELECT count(*) FROM achievements = 16.</t>
  </si>
  <si>
    <t xml:space="preserve">DEF-028</t>
  </si>
  <si>
    <t xml:space="preserve">MT-INS-008</t>
  </si>
  <si>
    <t xml:space="preserve">FR-NUT-07</t>
  </si>
  <si>
    <t xml:space="preserve">Seeded food catalogue</t>
  </si>
  <si>
    <t xml:space="preserve">1. Open the artefact the requirement names (code, config, document or UI text).
2. Check each statement in FR-NUT-07 against it. REFINE these steps from the FR text before executing.
3. Record file, line or screen as evidence.</t>
  </si>
  <si>
    <t xml:space="preserve">The artefact conforms to FR-NUT-07.</t>
  </si>
  <si>
    <t xml:space="preserve">db/seeds/005-foods-india.sql seeds 180 foods (SRS requires at least 300). Macros are non-null; no duplicate names found. Confirmed on a freshly seeded database: SELECT count(*) FROM foods = 180.</t>
  </si>
  <si>
    <t xml:space="preserve">DEF-029</t>
  </si>
  <si>
    <t xml:space="preserve">MT-INS-009</t>
  </si>
  <si>
    <t xml:space="preserve">FR-PLT-01</t>
  </si>
  <si>
    <t xml:space="preserve">Seeded species catalogue</t>
  </si>
  <si>
    <t xml:space="preserve">1. Open the artefact the requirement names (code, config, document or UI text).
2. Check each statement in FR-PLT-01 against it. REFINE these steps from the FR text before executing.
3. Record file, line or screen as evidence.</t>
  </si>
  <si>
    <t xml:space="preserve">The artefact conforms to FR-PLT-01.</t>
  </si>
  <si>
    <t xml:space="preserve">94 species seeded (16 in 001-species.sql + 78 in 004-species-india.sql), above the minimum of 60; no duplicate names. Per-species care-profile completeness was not checked field by field. Confirmed on a freshly seeded database: SELECT count(*) FROM species = 94.</t>
  </si>
  <si>
    <t xml:space="preserve">MT-INS-010</t>
  </si>
  <si>
    <t xml:space="preserve">FR-SYS-18</t>
  </si>
  <si>
    <t xml:space="preserve">API surface conventions and request identity</t>
  </si>
  <si>
    <t xml:space="preserve">1. Open the artefact the requirement names (code, config, document or UI text).
2. Check each statement in FR-SYS-18 against it. REFINE these steps from the FR text before executing.
3. Record file, line or screen as evidence.</t>
  </si>
  <si>
    <t xml:space="preserve">The artefact conforms to FR-SYS-18.</t>
  </si>
  <si>
    <t xml:space="preserve">Routes are mounted under /api/v1 (app.ts l.92-94) and X-Request-Id is echoed (requestId.ts). But SRS requires ^[A-Za-z0-9-]{8,64}$ while the code accepts . and _ and has no 8-character minimum (SAFE_ID, MAX_INBOUND_LENGTH). Request id was not found in logging.ts log records. Live confirmation: X-Request-Id "short" (5 chars) and "abc.def_ghi" were both echoed back (SRS rejects both). Auth endpoints are mounted at /api/auth, not /api/v1 (app.ts l.90). GET /api/v1/plants/ (trailing slash) returns 200; SRS requires 404.</t>
  </si>
  <si>
    <t xml:space="preserve">DEF-030</t>
  </si>
  <si>
    <t xml:space="preserve">MT-INS-011</t>
  </si>
  <si>
    <t xml:space="preserve">FR-SYS-22</t>
  </si>
  <si>
    <t xml:space="preserve">Data hygiene invariants</t>
  </si>
  <si>
    <t xml:space="preserve">1. Open the artefact the requirement names (code, config, document or UI text).
2. Check each statement in FR-SYS-22 against it. REFINE these steps from the FR text before executing.
3. Record file, line or screen as evidence.</t>
  </si>
  <si>
    <t xml:space="preserve">The artefact conforms to FR-SYS-22.</t>
  </si>
  <si>
    <t xml:space="preserve">Migrations 001-006: no table has sync_seq or tz_at_capture; events use local_date_str instead of local_date; deleted_at exists only on plants, growth_log_entries, workouts, foods, meals. Positive: all primary keys are UUID and timestamps are timestamptz.</t>
  </si>
  <si>
    <t xml:space="preserve">DEF-031</t>
  </si>
  <si>
    <t xml:space="preserve">MT-SEC-001</t>
  </si>
  <si>
    <t xml:space="preserve">Security (manual)</t>
  </si>
  <si>
    <t xml:space="preserve">NFR-SEC</t>
  </si>
  <si>
    <t xml:space="preserve">IDOR replay in the browser</t>
  </si>
  <si>
    <t xml:space="preserve">Local build only; never scan the production site.</t>
  </si>
  <si>
    <t xml:space="preserve">Copy a plant request as another user in dev tools; replay with a second user token.</t>
  </si>
  <si>
    <t xml:space="preserve">404; no data from the first user returned.</t>
  </si>
  <si>
    <t xml:space="preserve">Registered users A and B; A created a plant. B got 404 on GET, PUT, DELETE and POST /care for A's plant; B's plant list did not contain it; A still read it (200). No-token request returned 401.</t>
  </si>
  <si>
    <t xml:space="preserve">Local API http://localhost:4000 (Node 22, PostgreSQL 16, freshly migrated and seeded)</t>
  </si>
  <si>
    <t xml:space="preserve">curl (no browser)</t>
  </si>
  <si>
    <t xml:space="preserve">Ubuntu 24.04 (sandbox)</t>
  </si>
  <si>
    <t xml:space="preserve">MT-SEC-002</t>
  </si>
  <si>
    <t xml:space="preserve">Token after logout</t>
  </si>
  <si>
    <t xml:space="preserve">Log out; reuse the old refresh token.</t>
  </si>
  <si>
    <t xml:space="preserve">401.</t>
  </si>
  <si>
    <t xml:space="preserve">Logged in, refreshed (200), logged out (200), then reused the post-logout refresh token: 401. OBSERVATION (not part of this row): re-sending the already-rotated previous refresh token also returned 200, so refresh-token reuse after rotation was not rejected.</t>
  </si>
  <si>
    <t xml:space="preserve">DEF-037</t>
  </si>
  <si>
    <t xml:space="preserve">MT-SEC-003</t>
  </si>
  <si>
    <t xml:space="preserve">Stored XSS in nickname and note</t>
  </si>
  <si>
    <t xml:space="preserve">Save &lt;img src=x onerror=alert(1)&gt; as a plant nickname and growth note.</t>
  </si>
  <si>
    <t xml:space="preserve">Rendered as text; no script runs on any screen.</t>
  </si>
  <si>
    <t xml:space="preserve">Created a plant with nickname &lt;img src=x onerror=alert(1)&gt; and a growth note with the same text. The text is displayed literally on the plant list and detail page; no img element with src=x was created and 0 JavaScript dialogs fired while visiting plants, plant detail, dashboard and settings.</t>
  </si>
  <si>
    <t xml:space="preserve">MT-SEC-003_PASS_2026-10-21.png; MT-SEC-003_PASS_2026-10-21_detail.png</t>
  </si>
  <si>
    <t xml:space="preserve">MT-SEC-004</t>
  </si>
  <si>
    <t xml:space="preserve">CSRF on cookie refresh</t>
  </si>
  <si>
    <t xml:space="preserve">From a page on another origin, call /api/auth/refresh with credentials.</t>
  </si>
  <si>
    <t xml:space="preserve">403.</t>
  </si>
  <si>
    <t xml:space="preserve">POST /api/auth/refresh with the refresh cookie: from Origin http://evil.example = 403; with no Origin/Referer = 403; from the allowed origin http://localhost:5173 = 200.</t>
  </si>
  <si>
    <t xml:space="preserve">MT-SEC-005</t>
  </si>
  <si>
    <t xml:space="preserve">Login lockout</t>
  </si>
  <si>
    <t xml:space="preserve">Fail login 5 times.</t>
  </si>
  <si>
    <t xml:space="preserve">Account throttled with a clear message and Retry-After; success resets after the window.</t>
  </si>
  <si>
    <t xml:space="preserve">5 failed logins returned 401; the 6th returned 429 with Retry-After: 60; a correct password during the lock also returned 429 with Retry-After: 60. Reset after the window was not waited out.</t>
  </si>
  <si>
    <t xml:space="preserve">MT-SEC-006</t>
  </si>
  <si>
    <t xml:space="preserve">Password policy messaging</t>
  </si>
  <si>
    <t xml:space="preserve">Register with abcdefghijkl and with repeated characters (see DEF-005).</t>
  </si>
  <si>
    <t xml:space="preserve">UI and API reject; record the actual behaviour.</t>
  </si>
  <si>
    <t xml:space="preserve">Registered with abcdefghijkl and with aaaaaaaaaaaa: both returned 202 and the accounts were created and ACTIVE. Only a 12-128 character length rule is enforced (password.ts l.78-87); no repeated-character, composition or breached-password check.</t>
  </si>
  <si>
    <t xml:space="preserve">DEF-005</t>
  </si>
  <si>
    <t xml:space="preserve">MT-SEC-008</t>
  </si>
  <si>
    <t xml:space="preserve">Browser storage review</t>
  </si>
  <si>
    <t xml:space="preserve">Inspect localStorage and sessionStorage after login.</t>
  </si>
  <si>
    <t xml:space="preserve">No password; refresh token not readable from script (HttpOnly cookie on web).</t>
  </si>
  <si>
    <t xml:space="preserve">After login: localStorage holds only the theme, sessionStorage only a greeting flag, document.cookie is empty and IndexedDB is empty. No password and no token in script-readable storage. The refresh_token cookie is HttpOnly and Secure with path /api/auth (SameSite=None, relying on the Origin check tested in MT-SEC-004).</t>
  </si>
  <si>
    <t xml:space="preserve">MT-SEC-008_PASS_2026-10-21.txt</t>
  </si>
  <si>
    <t xml:space="preserve">MT-SEC-009</t>
  </si>
  <si>
    <t xml:space="preserve">Error pages</t>
  </si>
  <si>
    <t xml:space="preserve">Request a missing page and a failing API call.</t>
  </si>
  <si>
    <t xml:space="preserve">No stack trace, SQL or file path shown.</t>
  </si>
  <si>
    <t xml:space="preserve">Unknown web page shows a friendly 404 with no technical detail. API errors checked: invalid JSON (400), invalid id (422), unknown route (404) and an oversized field (422): each returns only code, message, request id and timestamp. No stack trace, SQL or file path. A forced 500 response body was not captured here.</t>
  </si>
  <si>
    <t xml:space="preserve">MT-SEC-009_PASS_2026-10-21.png</t>
  </si>
  <si>
    <t xml:space="preserve">MT-CMP-001</t>
  </si>
  <si>
    <t xml:space="preserve">Compliance</t>
  </si>
  <si>
    <t xml:space="preserve">NFR-PRIV / NFR-LEGL</t>
  </si>
  <si>
    <t xml:space="preserve">Privacy notice at registration</t>
  </si>
  <si>
    <t xml:space="preserve">Test account.</t>
  </si>
  <si>
    <t xml:space="preserve">Open the registration page.</t>
  </si>
  <si>
    <t xml:space="preserve">Privacy notice and terms are linked and readable before submitting.</t>
  </si>
  <si>
    <t xml:space="preserve">Code review only. RegisterPage.tsx has no privacy notice or terms link; "Privacy" appears only in SettingsPage.tsx l.775.</t>
  </si>
  <si>
    <t xml:space="preserve">DEF-032</t>
  </si>
  <si>
    <t xml:space="preserve">MT-CMP-002</t>
  </si>
  <si>
    <t xml:space="preserve">Consent recorded</t>
  </si>
  <si>
    <t xml:space="preserve">Register, then inspect consent_records.</t>
  </si>
  <si>
    <t xml:space="preserve">Consent versions and timestamps stored (note that the API currently takes only confirmed_age: compare with the SRS).</t>
  </si>
  <si>
    <t xml:space="preserve">After registering 5 accounts, SELECT count(*) FROM consent_records = 0. The register API accepts only confirmed_age; no consent versions or timestamps are stored.</t>
  </si>
  <si>
    <t xml:space="preserve">DEF-033</t>
  </si>
  <si>
    <t xml:space="preserve">MT-CMP-003</t>
  </si>
  <si>
    <t xml:space="preserve">Age gate at 16</t>
  </si>
  <si>
    <t xml:space="preserve">Attempt to register with age not confirmed.</t>
  </si>
  <si>
    <t xml:space="preserve">Refused with a clear message.</t>
  </si>
  <si>
    <t xml:space="preserve">POST /api/auth/register without confirmed_age returned 422 with details field confirmed_age / must_be_confirmed. (Web form also blocks it: RegisterPage.tsx.)</t>
  </si>
  <si>
    <t xml:space="preserve">MT-CMP-004</t>
  </si>
  <si>
    <t xml:space="preserve">Data export</t>
  </si>
  <si>
    <t xml:space="preserve">Request a data export (FR-ACC data portability).</t>
  </si>
  <si>
    <t xml:space="preserve">Download contains every category of the user's data and no other user's.</t>
  </si>
  <si>
    <t xml:space="preserve">Requested account/export, account/data-export, sync/export and account/export-request with a valid token: all 404. No data-export feature exists in the API.</t>
  </si>
  <si>
    <t xml:space="preserve">DEF-034</t>
  </si>
  <si>
    <t xml:space="preserve">MT-CMP-005</t>
  </si>
  <si>
    <t xml:space="preserve">Deletion flow end to end</t>
  </si>
  <si>
    <t xml:space="preserve">Request deletion with the password; sign in during grace; cancel; request again.</t>
  </si>
  <si>
    <t xml:space="preserve">30-day date shown, banner shown, cancel restores ACTIVE.</t>
  </si>
  <si>
    <t xml:space="preserve">Requested deletion with 'DELETE' and the password: status PENDING_DELETION, purge date 2026-11-20 (30 days), 'Deletion scheduled' banner and the date 'erased after Nov 20, 2026' shown on Settings. Signed out and in again during the grace period: sign-in works and lands on Settings with 'Keep my account'. Clicking it restored status ACTIVE; requesting deletion again worked. The banner appears on Settings, not on the dashboard.</t>
  </si>
  <si>
    <t xml:space="preserve">MT-CMP-005_PASS_2026-10-21_requested.png; MT-CMP-005_PASS_2026-10-21_grace.png; MT-CMP-005_PASS_2026-10-21_cancelled.png</t>
  </si>
  <si>
    <t xml:space="preserve">MT-CMP-006</t>
  </si>
  <si>
    <t xml:space="preserve">Erasure after the grace period</t>
  </si>
  <si>
    <t xml:space="preserve">Set purge_after in the past on a test account; run the purge.</t>
  </si>
  <si>
    <t xml:space="preserve">All rows removed; sign-in fails (see DEF-019 for email and storage).</t>
  </si>
  <si>
    <t xml:space="preserve">Requested deletion, set users.purge_after to the past, ran runPurgePass(): due 1, erased 1, failed 0. Rows for that user in users, profiles, plants, sessions and tokens were removed (counts 0) and sign-in returned 401. DEF-019 (email and storage cleanup) was not checked.</t>
  </si>
  <si>
    <t xml:space="preserve">MT-CMP-007</t>
  </si>
  <si>
    <t xml:space="preserve">Health disclaimer</t>
  </si>
  <si>
    <t xml:space="preserve">Open BMR, calorie and workout energy screens.</t>
  </si>
  <si>
    <t xml:space="preserve">Disclaimer that values are estimates and not medical advice is visible near each.</t>
  </si>
  <si>
    <t xml:space="preserve">Code review only. The "not medical advice" text exists on LandingPage.tsx and AuthLayout.tsx only; not found on the fitness or nutrition screens.</t>
  </si>
  <si>
    <t xml:space="preserve">DEF-035</t>
  </si>
  <si>
    <t xml:space="preserve">MT-CMP-008</t>
  </si>
  <si>
    <t xml:space="preserve">In-app deletion reachable</t>
  </si>
  <si>
    <t xml:space="preserve">From the home screen, reach account deletion.</t>
  </si>
  <si>
    <t xml:space="preserve">Reachable in 3 taps or fewer (app-store requirement).</t>
  </si>
  <si>
    <t xml:space="preserve">From the dashboard: Settings (tap 1), Delete account button (tap 2) opens the deletion dialog; confirmation is the third step. The deletion screen is reached in 2 taps on web. The mobile app was not checked.</t>
  </si>
  <si>
    <t xml:space="preserve">MT-CMP-008_PASS_2026-10-21.png</t>
  </si>
  <si>
    <t xml:space="preserve">MT-CMP-009</t>
  </si>
  <si>
    <t xml:space="preserve">Analytics opt-in default</t>
  </si>
  <si>
    <t xml:space="preserve">Fresh account; open settings.</t>
  </si>
  <si>
    <t xml:space="preserve">Analytics is off by default.</t>
  </si>
  <si>
    <t xml:space="preserve">GET /api/v1/settings for a fresh account returned "analytics_opt_in": false.</t>
  </si>
  <si>
    <t xml:space="preserve">MT-CMP-010</t>
  </si>
  <si>
    <t xml:space="preserve">Third-party licences</t>
  </si>
  <si>
    <t xml:space="preserve">Open the licences page and compare with THIRD_PARTY_LICENSES.md.</t>
  </si>
  <si>
    <t xml:space="preserve">Page exists and matches the inventory.</t>
  </si>
  <si>
    <t xml:space="preserve">Code review only. 05_documentation/THIRD_PARTY_LICENSES.md exists, but there is no in-app licences page to compare against it.</t>
  </si>
  <si>
    <t xml:space="preserve">DEF-036</t>
  </si>
  <si>
    <t xml:space="preserve">MT-UAT-001</t>
  </si>
  <si>
    <t xml:space="preserve">UAT</t>
  </si>
  <si>
    <t xml:space="preserve">User story (Must)</t>
  </si>
  <si>
    <t xml:space="preserve">Register and add the first plant</t>
  </si>
  <si>
    <t xml:space="preserve">Fresh test account.</t>
  </si>
  <si>
    <t xml:space="preserve">New user registers, adds a plant from the catalogue.</t>
  </si>
  <si>
    <t xml:space="preserve">Plant appears with a next-water date (see DEF-008).</t>
  </si>
  <si>
    <t xml:space="preserve">Executed by the tester in UAT; passed.</t>
  </si>
  <si>
    <t xml:space="preserve">Local build</t>
  </si>
  <si>
    <t xml:space="preserve">MT-UAT-002</t>
  </si>
  <si>
    <t xml:space="preserve">Water a plant and see the next due date move</t>
  </si>
  <si>
    <t xml:space="preserve">Water today.</t>
  </si>
  <si>
    <t xml:space="preserve">Next due date moves forward by the effective interval.</t>
  </si>
  <si>
    <t xml:space="preserve">MT-UAT-003</t>
  </si>
  <si>
    <t xml:space="preserve">Log a run and see calories</t>
  </si>
  <si>
    <t xml:space="preserve">Log RUN, 45 min, moderate.</t>
  </si>
  <si>
    <t xml:space="preserve">Energy shown matches MET x kg x min / 60.</t>
  </si>
  <si>
    <t xml:space="preserve">MT-UAT-004</t>
  </si>
  <si>
    <t xml:space="preserve">Log a strength workout and see volume and a record</t>
  </si>
  <si>
    <t xml:space="preserve">3 sets of 5 at 100 kg.</t>
  </si>
  <si>
    <t xml:space="preserve">Volume 1500 kg; estimated 1RM 116.7 kg; a personal record is created.</t>
  </si>
  <si>
    <t xml:space="preserve">Volume (1500 kg) and estimated 1RM (116.7 kg) are computed correctly server-side (fitnessController.ts l.141-149; shared fitness.ts l.46-49). No personal record is created: nothing inserts into personal_records, and getPersonalRecords (fitnessRepo.ts l.272-285) only reads it, so the PR list stays empty. Cause found by code review; the UAT failure was reported by the tester.</t>
  </si>
  <si>
    <t xml:space="preserve">DEF-023</t>
  </si>
  <si>
    <t xml:space="preserve">MT-UAT-005</t>
  </si>
  <si>
    <t xml:space="preserve">Log breakfast and see the daily total</t>
  </si>
  <si>
    <t xml:space="preserve">Add two foods.</t>
  </si>
  <si>
    <t xml:space="preserve">Daily total equals the sum shown.</t>
  </si>
  <si>
    <t xml:space="preserve">MT-UAT-006</t>
  </si>
  <si>
    <t xml:space="preserve">Set macro targets and see progress</t>
  </si>
  <si>
    <t xml:space="preserve">Set a calorie target and log meals.</t>
  </si>
  <si>
    <t xml:space="preserve">Progress bar and remaining calories are correct.</t>
  </si>
  <si>
    <t xml:space="preserve">MT-UAT-007</t>
  </si>
  <si>
    <t xml:space="preserve">Reach the water goal</t>
  </si>
  <si>
    <t xml:space="preserve">Log water until the goal.</t>
  </si>
  <si>
    <t xml:space="preserve">Goal reached state is shown.</t>
  </si>
  <si>
    <t xml:space="preserve">MT-UAT-008</t>
  </si>
  <si>
    <t xml:space="preserve">Streak increments</t>
  </si>
  <si>
    <t xml:space="preserve">Log across modules on consecutive days (adjust dates).</t>
  </si>
  <si>
    <t xml:space="preserve">Overall streak increments once per day.</t>
  </si>
  <si>
    <t xml:space="preserve">MT-UAT-009</t>
  </si>
  <si>
    <t xml:space="preserve">Freeze day</t>
  </si>
  <si>
    <t xml:space="preserve">Miss one day with a token available.</t>
  </si>
  <si>
    <t xml:space="preserve">Streak continues and one token is consumed.</t>
  </si>
  <si>
    <t xml:space="preserve">MT-UAT-010</t>
  </si>
  <si>
    <t xml:space="preserve">Achievement unlock</t>
  </si>
  <si>
    <t xml:space="preserve">Complete the first workout.</t>
  </si>
  <si>
    <t xml:space="preserve">Unlock is shown once and listed as unlocked.</t>
  </si>
  <si>
    <t xml:space="preserve">MT-UAT-011</t>
  </si>
  <si>
    <t xml:space="preserve">Turn a module off</t>
  </si>
  <si>
    <t xml:space="preserve">Disable fitness.</t>
  </si>
  <si>
    <t xml:space="preserve">Dashboard and navigation hide it; data is retained; streak excludes it.</t>
  </si>
  <si>
    <t xml:space="preserve">MT-UAT-012</t>
  </si>
  <si>
    <t xml:space="preserve">Quiet hours</t>
  </si>
  <si>
    <t xml:space="preserve">Set 22:00 to 07:00 and trigger a reminder inside the window.</t>
  </si>
  <si>
    <t xml:space="preserve">No notification during quiet hours; delivered after.</t>
  </si>
  <si>
    <t xml:space="preserve">MT-UAT-013</t>
  </si>
  <si>
    <t xml:space="preserve">Reminders list and dismiss</t>
  </si>
  <si>
    <t xml:space="preserve">Open reminders; dismiss one.</t>
  </si>
  <si>
    <t xml:space="preserve">It disappears and does not return.</t>
  </si>
  <si>
    <t xml:space="preserve">MT-UAT-014</t>
  </si>
  <si>
    <t xml:space="preserve">Offline use then sync</t>
  </si>
  <si>
    <t xml:space="preserve">Use the app offline then reconnect.</t>
  </si>
  <si>
    <t xml:space="preserve">No data lost or duplicated.</t>
  </si>
  <si>
    <t xml:space="preserve">MT-UAT-015</t>
  </si>
  <si>
    <t xml:space="preserve">Delete the account</t>
  </si>
  <si>
    <t xml:space="preserve">Complete the deletion flow.</t>
  </si>
  <si>
    <t xml:space="preserve">Confirmation shown; sign-in still possible during grace.</t>
  </si>
  <si>
    <t xml:space="preserve">Count</t>
  </si>
  <si>
    <t xml:space="preserve">Total rows</t>
  </si>
  <si>
    <t xml:space="preserve">Proposed severity</t>
  </si>
  <si>
    <t xml:space="preserve">Type</t>
  </si>
  <si>
    <t xml:space="preserve">Priority of requirement</t>
  </si>
  <si>
    <t xml:space="preserve">Record and resume onboarding progress (FR-ACC-17) not as specified</t>
  </si>
  <si>
    <t xml:space="preserve">S3</t>
  </si>
  <si>
    <t xml:space="preserve">Requirement not met</t>
  </si>
  <si>
    <t xml:space="preserve">Quick-add action set (FR-DSH-10) not as specified</t>
  </si>
  <si>
    <t xml:space="preserve">Today shortcut (FR-DSH-12) not as specified</t>
  </si>
  <si>
    <t xml:space="preserve">Empty and all-caught-up states (FR-DSH-16) not as specified</t>
  </si>
  <si>
    <t xml:space="preserve">Responsive layout (FR-DSH-22) not as specified</t>
  </si>
  <si>
    <t xml:space="preserve">Settings hub information architecture (FR-SET-01) not as specified</t>
  </si>
  <si>
    <t xml:space="preserve">Profile entry point (FR-SET-02) not as specified</t>
  </si>
  <si>
    <t xml:space="preserve">Estimate presentation and disclaimer (FR-FIT-06) not as specified</t>
  </si>
  <si>
    <t xml:space="preserve">Unlock experience (FR-GAM-16) not as specified</t>
  </si>
  <si>
    <t xml:space="preserve">Trophy gallery (FR-GAM-17) not as specified</t>
  </si>
  <si>
    <t xml:space="preserve">Deep links (FR-NOT-19) not as specified</t>
  </si>
  <si>
    <t xml:space="preserve">Visible sync state and the needs-attention queue (FR-SYS-06) not as specified</t>
  </si>
  <si>
    <t xml:space="preserve">Connectivity-required operation guardrails (FR-SYS-07) not as specified</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</si>
</sst>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10"/>
      <color rgb="FFFFFFFF"/>
      <name val="Arial"/>
      <family val="0"/>
      <charset val="1"/>
    </font>
    <font>
      <b val="true"/>
      <sz val="11"/>
      <name val="Cambria"/>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8"/>
  </cols>
  <sheetData>
    <row r="1" customFormat="false" ht="15" hidden="false" customHeight="true" outlineLevel="0" collapsed="false">
      <c r="A1" s="2" t="s">
        <v>0</v>
      </c>
    </row>
    <row r="2" customFormat="false" ht="23.25" hidden="false" customHeight="true" outlineLevel="0" collapsed="false">
      <c r="A2" s="3" t="s">
        <v>1</v>
      </c>
    </row>
    <row r="3" customFormat="false" ht="15" hidden="false" customHeight="true" outlineLevel="0" collapsed="false">
      <c r="A3" s="3"/>
    </row>
    <row r="4" customFormat="false" ht="15" hidden="false" customHeight="true" outlineLevel="0" collapsed="false">
      <c r="A4" s="4" t="s">
        <v>2</v>
      </c>
    </row>
    <row r="5" customFormat="false" ht="15" hidden="false" customHeight="true" outlineLevel="0" collapsed="false">
      <c r="A5" s="3" t="s">
        <v>3</v>
      </c>
    </row>
    <row r="6" customFormat="false" ht="15" hidden="false" customHeight="true" outlineLevel="0" collapsed="false">
      <c r="A6" s="3" t="s">
        <v>4</v>
      </c>
    </row>
    <row r="7" customFormat="false" ht="15" hidden="false" customHeight="true" outlineLevel="0" collapsed="false">
      <c r="A7" s="3" t="s">
        <v>5</v>
      </c>
    </row>
    <row r="8" customFormat="false" ht="15" hidden="false" customHeight="true" outlineLevel="0" collapsed="false">
      <c r="A8" s="3" t="s">
        <v>6</v>
      </c>
    </row>
    <row r="9" customFormat="false" ht="15" hidden="false" customHeight="true" outlineLevel="0" collapsed="false">
      <c r="A9" s="3" t="s">
        <v>7</v>
      </c>
    </row>
    <row r="10" customFormat="false" ht="15" hidden="false" customHeight="true" outlineLevel="0" collapsed="false">
      <c r="A10" s="3"/>
    </row>
    <row r="11" customFormat="false" ht="15" hidden="false" customHeight="true" outlineLevel="0" collapsed="false">
      <c r="A11" s="4" t="s">
        <v>8</v>
      </c>
    </row>
    <row r="12" customFormat="false" ht="15" hidden="false" customHeight="true" outlineLevel="0" collapsed="false">
      <c r="A12" s="3" t="s">
        <v>9</v>
      </c>
    </row>
    <row r="13" customFormat="false" ht="23.25" hidden="false" customHeight="true" outlineLevel="0" collapsed="false">
      <c r="A13" s="3" t="s">
        <v>10</v>
      </c>
    </row>
    <row r="14" customFormat="false" ht="15" hidden="false" customHeight="true" outlineLevel="0" collapsed="false">
      <c r="A14" s="3"/>
    </row>
    <row r="15" customFormat="false" ht="23.25" hidden="false" customHeight="true" outlineLevel="0" collapsed="false">
      <c r="A15" s="3" t="s">
        <v>11</v>
      </c>
    </row>
    <row r="17" customFormat="false" ht="28.35" hidden="false" customHeight="false" outlineLevel="0" collapsed="false">
      <c r="A17" s="5" t="s">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22"/>
    <col collapsed="false" customWidth="true" hidden="false" outlineLevel="0" max="4" min="4" style="0" width="9"/>
    <col collapsed="false" customWidth="true" hidden="false" outlineLevel="0" max="5" min="5" style="0" width="38"/>
    <col collapsed="false" customWidth="true" hidden="false" outlineLevel="0" max="6" min="6" style="0" width="28"/>
    <col collapsed="false" customWidth="true" hidden="false" outlineLevel="0" max="7" min="7" style="0" width="60"/>
    <col collapsed="false" customWidth="true" hidden="false" outlineLevel="0" max="8" min="8" style="0" width="46"/>
    <col collapsed="false" customWidth="true" hidden="false" outlineLevel="0" max="9" min="9" style="0" width="10"/>
    <col collapsed="false" customWidth="true" hidden="false" outlineLevel="0" max="10" min="10" style="0" width="36"/>
    <col collapsed="false" customWidth="true" hidden="false" outlineLevel="0" max="12" min="12" style="0" width="18"/>
    <col collapsed="false" customWidth="true" hidden="false" outlineLevel="0" max="13" min="13" style="0" width="24"/>
    <col collapsed="false" customWidth="true" hidden="false" outlineLevel="0" max="14" min="14" style="0" width="20"/>
    <col collapsed="false" customWidth="true" hidden="false" outlineLevel="0" max="15" min="15" style="0" width="14"/>
    <col collapsed="false" customWidth="true" hidden="false" outlineLevel="0" max="16" min="16" style="0" width="28"/>
    <col collapsed="false" customWidth="true" hidden="false" outlineLevel="0" max="17" min="17" style="0" width="10"/>
    <col collapsed="false" customWidth="true" hidden="false" outlineLevel="0" max="18" min="18" style="0" width="12"/>
  </cols>
  <sheetData>
    <row r="1" customFormat="false" ht="15" hidden="false" customHeight="true" outlineLevel="0" collapsed="false">
      <c r="A1" s="6" t="s">
        <v>13</v>
      </c>
      <c r="B1" s="6" t="s">
        <v>14</v>
      </c>
      <c r="C1" s="6" t="s">
        <v>15</v>
      </c>
      <c r="D1" s="6" t="s">
        <v>16</v>
      </c>
      <c r="E1" s="6" t="s">
        <v>17</v>
      </c>
      <c r="F1" s="6" t="s">
        <v>18</v>
      </c>
      <c r="G1" s="6" t="s">
        <v>19</v>
      </c>
      <c r="H1" s="6" t="s">
        <v>20</v>
      </c>
      <c r="I1" s="6" t="s">
        <v>21</v>
      </c>
      <c r="J1" s="6" t="s">
        <v>22</v>
      </c>
      <c r="K1" s="6" t="s">
        <v>23</v>
      </c>
      <c r="L1" s="6" t="s">
        <v>24</v>
      </c>
      <c r="M1" s="6" t="s">
        <v>25</v>
      </c>
      <c r="N1" s="6" t="s">
        <v>26</v>
      </c>
      <c r="O1" s="6" t="s">
        <v>27</v>
      </c>
      <c r="P1" s="6" t="s">
        <v>28</v>
      </c>
      <c r="Q1" s="6" t="s">
        <v>29</v>
      </c>
      <c r="R1" s="6" t="s">
        <v>30</v>
      </c>
    </row>
    <row r="2" customFormat="false" ht="91" hidden="false" customHeight="false" outlineLevel="0" collapsed="false">
      <c r="A2" s="7" t="s">
        <v>31</v>
      </c>
      <c r="B2" s="7" t="s">
        <v>32</v>
      </c>
      <c r="C2" s="7" t="s">
        <v>33</v>
      </c>
      <c r="D2" s="7" t="s">
        <v>34</v>
      </c>
      <c r="E2" s="7" t="s">
        <v>35</v>
      </c>
      <c r="F2" s="7" t="s">
        <v>36</v>
      </c>
      <c r="G2" s="7" t="s">
        <v>37</v>
      </c>
      <c r="H2" s="7" t="s">
        <v>38</v>
      </c>
      <c r="I2" s="8" t="s">
        <v>39</v>
      </c>
      <c r="J2" s="8" t="s">
        <v>40</v>
      </c>
      <c r="K2" s="8" t="s">
        <v>41</v>
      </c>
      <c r="L2" s="8" t="s">
        <v>42</v>
      </c>
      <c r="M2" s="8" t="s">
        <v>43</v>
      </c>
      <c r="N2" s="8" t="s">
        <v>44</v>
      </c>
      <c r="O2" s="8" t="s">
        <v>45</v>
      </c>
      <c r="P2" s="8" t="s">
        <v>46</v>
      </c>
      <c r="Q2" s="8" t="s">
        <v>47</v>
      </c>
      <c r="R2" s="8"/>
    </row>
    <row r="3" customFormat="false" ht="79.85" hidden="false" customHeight="false" outlineLevel="0" collapsed="false">
      <c r="A3" s="7" t="s">
        <v>48</v>
      </c>
      <c r="B3" s="7" t="s">
        <v>32</v>
      </c>
      <c r="C3" s="7" t="s">
        <v>49</v>
      </c>
      <c r="D3" s="7" t="s">
        <v>34</v>
      </c>
      <c r="E3" s="7" t="s">
        <v>50</v>
      </c>
      <c r="F3" s="7" t="s">
        <v>36</v>
      </c>
      <c r="G3" s="7" t="s">
        <v>51</v>
      </c>
      <c r="H3" s="7" t="s">
        <v>52</v>
      </c>
      <c r="I3" s="8" t="s">
        <v>53</v>
      </c>
      <c r="J3" s="8" t="s">
        <v>54</v>
      </c>
      <c r="K3" s="8" t="s">
        <v>41</v>
      </c>
      <c r="L3" s="8" t="s">
        <v>42</v>
      </c>
      <c r="M3" s="8" t="s">
        <v>43</v>
      </c>
      <c r="N3" s="8" t="s">
        <v>44</v>
      </c>
      <c r="O3" s="8" t="s">
        <v>45</v>
      </c>
      <c r="P3" s="8" t="s">
        <v>55</v>
      </c>
      <c r="Q3" s="8"/>
      <c r="R3" s="8"/>
    </row>
    <row r="4" customFormat="false" ht="91" hidden="false" customHeight="false" outlineLevel="0" collapsed="false">
      <c r="A4" s="7" t="s">
        <v>56</v>
      </c>
      <c r="B4" s="7" t="s">
        <v>32</v>
      </c>
      <c r="C4" s="7" t="s">
        <v>57</v>
      </c>
      <c r="D4" s="7" t="s">
        <v>34</v>
      </c>
      <c r="E4" s="7" t="s">
        <v>58</v>
      </c>
      <c r="F4" s="7" t="s">
        <v>36</v>
      </c>
      <c r="G4" s="7" t="s">
        <v>59</v>
      </c>
      <c r="H4" s="7" t="s">
        <v>60</v>
      </c>
      <c r="I4" s="8" t="s">
        <v>39</v>
      </c>
      <c r="J4" s="8" t="s">
        <v>61</v>
      </c>
      <c r="K4" s="8" t="s">
        <v>41</v>
      </c>
      <c r="L4" s="8" t="s">
        <v>42</v>
      </c>
      <c r="M4" s="8" t="s">
        <v>43</v>
      </c>
      <c r="N4" s="8" t="s">
        <v>44</v>
      </c>
      <c r="O4" s="8" t="s">
        <v>45</v>
      </c>
      <c r="P4" s="8" t="s">
        <v>62</v>
      </c>
      <c r="Q4" s="8" t="s">
        <v>63</v>
      </c>
      <c r="R4" s="8"/>
    </row>
    <row r="5" customFormat="false" ht="102.2" hidden="false" customHeight="false" outlineLevel="0" collapsed="false">
      <c r="A5" s="7" t="s">
        <v>64</v>
      </c>
      <c r="B5" s="7" t="s">
        <v>32</v>
      </c>
      <c r="C5" s="7" t="s">
        <v>65</v>
      </c>
      <c r="D5" s="7" t="s">
        <v>34</v>
      </c>
      <c r="E5" s="7" t="s">
        <v>66</v>
      </c>
      <c r="F5" s="7" t="s">
        <v>36</v>
      </c>
      <c r="G5" s="7" t="s">
        <v>67</v>
      </c>
      <c r="H5" s="7" t="s">
        <v>68</v>
      </c>
      <c r="I5" s="8" t="s">
        <v>39</v>
      </c>
      <c r="J5" s="8" t="s">
        <v>69</v>
      </c>
      <c r="K5" s="8" t="s">
        <v>41</v>
      </c>
      <c r="L5" s="8" t="s">
        <v>42</v>
      </c>
      <c r="M5" s="8" t="s">
        <v>43</v>
      </c>
      <c r="N5" s="8" t="s">
        <v>44</v>
      </c>
      <c r="O5" s="8" t="s">
        <v>45</v>
      </c>
      <c r="P5" s="8" t="s">
        <v>70</v>
      </c>
      <c r="Q5" s="8" t="s">
        <v>71</v>
      </c>
      <c r="R5" s="8"/>
    </row>
    <row r="6" customFormat="false" ht="113.4" hidden="false" customHeight="false" outlineLevel="0" collapsed="false">
      <c r="A6" s="7" t="s">
        <v>72</v>
      </c>
      <c r="B6" s="7" t="s">
        <v>32</v>
      </c>
      <c r="C6" s="7" t="s">
        <v>73</v>
      </c>
      <c r="D6" s="7" t="s">
        <v>34</v>
      </c>
      <c r="E6" s="7" t="s">
        <v>74</v>
      </c>
      <c r="F6" s="7" t="s">
        <v>36</v>
      </c>
      <c r="G6" s="7" t="s">
        <v>75</v>
      </c>
      <c r="H6" s="7" t="s">
        <v>76</v>
      </c>
      <c r="I6" s="8" t="s">
        <v>39</v>
      </c>
      <c r="J6" s="8" t="s">
        <v>77</v>
      </c>
      <c r="K6" s="8" t="s">
        <v>41</v>
      </c>
      <c r="L6" s="8" t="s">
        <v>42</v>
      </c>
      <c r="M6" s="8" t="s">
        <v>43</v>
      </c>
      <c r="N6" s="8" t="s">
        <v>44</v>
      </c>
      <c r="O6" s="8" t="s">
        <v>45</v>
      </c>
      <c r="P6" s="8" t="s">
        <v>78</v>
      </c>
      <c r="Q6" s="8" t="s">
        <v>79</v>
      </c>
      <c r="R6" s="8"/>
    </row>
    <row r="7" customFormat="false" ht="102.2" hidden="false" customHeight="false" outlineLevel="0" collapsed="false">
      <c r="A7" s="7" t="s">
        <v>80</v>
      </c>
      <c r="B7" s="7" t="s">
        <v>32</v>
      </c>
      <c r="C7" s="7" t="s">
        <v>81</v>
      </c>
      <c r="D7" s="7" t="s">
        <v>34</v>
      </c>
      <c r="E7" s="7" t="s">
        <v>82</v>
      </c>
      <c r="F7" s="7" t="s">
        <v>36</v>
      </c>
      <c r="G7" s="7" t="s">
        <v>83</v>
      </c>
      <c r="H7" s="7" t="s">
        <v>84</v>
      </c>
      <c r="I7" s="8" t="s">
        <v>39</v>
      </c>
      <c r="J7" s="8" t="s">
        <v>85</v>
      </c>
      <c r="K7" s="8" t="s">
        <v>41</v>
      </c>
      <c r="L7" s="8" t="s">
        <v>42</v>
      </c>
      <c r="M7" s="8" t="s">
        <v>43</v>
      </c>
      <c r="N7" s="8" t="s">
        <v>44</v>
      </c>
      <c r="O7" s="8" t="s">
        <v>45</v>
      </c>
      <c r="P7" s="8" t="s">
        <v>86</v>
      </c>
      <c r="Q7" s="8" t="s">
        <v>87</v>
      </c>
      <c r="R7" s="8"/>
    </row>
    <row r="8" customFormat="false" ht="124.6" hidden="false" customHeight="false" outlineLevel="0" collapsed="false">
      <c r="A8" s="7" t="s">
        <v>88</v>
      </c>
      <c r="B8" s="7" t="s">
        <v>32</v>
      </c>
      <c r="C8" s="7" t="s">
        <v>89</v>
      </c>
      <c r="D8" s="7" t="s">
        <v>34</v>
      </c>
      <c r="E8" s="7" t="s">
        <v>90</v>
      </c>
      <c r="F8" s="7" t="s">
        <v>36</v>
      </c>
      <c r="G8" s="7" t="s">
        <v>91</v>
      </c>
      <c r="H8" s="7" t="s">
        <v>92</v>
      </c>
      <c r="I8" s="8" t="s">
        <v>39</v>
      </c>
      <c r="J8" s="8" t="s">
        <v>93</v>
      </c>
      <c r="K8" s="8" t="s">
        <v>41</v>
      </c>
      <c r="L8" s="8" t="s">
        <v>42</v>
      </c>
      <c r="M8" s="8" t="s">
        <v>43</v>
      </c>
      <c r="N8" s="8" t="s">
        <v>44</v>
      </c>
      <c r="O8" s="8" t="s">
        <v>45</v>
      </c>
      <c r="P8" s="8" t="s">
        <v>94</v>
      </c>
      <c r="Q8" s="8" t="s">
        <v>95</v>
      </c>
      <c r="R8" s="8"/>
    </row>
    <row r="9" customFormat="false" ht="79.85" hidden="false" customHeight="false" outlineLevel="0" collapsed="false">
      <c r="A9" s="7" t="s">
        <v>96</v>
      </c>
      <c r="B9" s="7" t="s">
        <v>32</v>
      </c>
      <c r="C9" s="7" t="s">
        <v>97</v>
      </c>
      <c r="D9" s="7" t="s">
        <v>34</v>
      </c>
      <c r="E9" s="7" t="s">
        <v>98</v>
      </c>
      <c r="F9" s="7" t="s">
        <v>36</v>
      </c>
      <c r="G9" s="7" t="s">
        <v>99</v>
      </c>
      <c r="H9" s="7" t="s">
        <v>100</v>
      </c>
      <c r="I9" s="8" t="s">
        <v>39</v>
      </c>
      <c r="J9" s="8" t="s">
        <v>101</v>
      </c>
      <c r="K9" s="8" t="s">
        <v>41</v>
      </c>
      <c r="L9" s="8" t="s">
        <v>42</v>
      </c>
      <c r="M9" s="8" t="s">
        <v>43</v>
      </c>
      <c r="N9" s="8" t="s">
        <v>44</v>
      </c>
      <c r="O9" s="8" t="s">
        <v>45</v>
      </c>
      <c r="P9" s="8" t="s">
        <v>102</v>
      </c>
      <c r="Q9" s="8" t="s">
        <v>103</v>
      </c>
      <c r="R9" s="8"/>
    </row>
    <row r="10" customFormat="false" ht="79.85" hidden="false" customHeight="false" outlineLevel="0" collapsed="false">
      <c r="A10" s="7" t="s">
        <v>104</v>
      </c>
      <c r="B10" s="7" t="s">
        <v>32</v>
      </c>
      <c r="C10" s="7" t="s">
        <v>105</v>
      </c>
      <c r="D10" s="7" t="s">
        <v>34</v>
      </c>
      <c r="E10" s="7" t="s">
        <v>106</v>
      </c>
      <c r="F10" s="7" t="s">
        <v>36</v>
      </c>
      <c r="G10" s="7" t="s">
        <v>107</v>
      </c>
      <c r="H10" s="7" t="s">
        <v>108</v>
      </c>
      <c r="I10" s="8" t="s">
        <v>39</v>
      </c>
      <c r="J10" s="8" t="s">
        <v>109</v>
      </c>
      <c r="K10" s="8" t="s">
        <v>41</v>
      </c>
      <c r="L10" s="8" t="s">
        <v>42</v>
      </c>
      <c r="M10" s="8" t="s">
        <v>43</v>
      </c>
      <c r="N10" s="8" t="s">
        <v>44</v>
      </c>
      <c r="O10" s="8" t="s">
        <v>45</v>
      </c>
      <c r="P10" s="8" t="s">
        <v>110</v>
      </c>
      <c r="Q10" s="8" t="s">
        <v>111</v>
      </c>
      <c r="R10" s="8"/>
    </row>
    <row r="11" customFormat="false" ht="113.4" hidden="false" customHeight="false" outlineLevel="0" collapsed="false">
      <c r="A11" s="7" t="s">
        <v>112</v>
      </c>
      <c r="B11" s="7" t="s">
        <v>32</v>
      </c>
      <c r="C11" s="7" t="s">
        <v>113</v>
      </c>
      <c r="D11" s="7" t="s">
        <v>34</v>
      </c>
      <c r="E11" s="7" t="s">
        <v>114</v>
      </c>
      <c r="F11" s="7" t="s">
        <v>36</v>
      </c>
      <c r="G11" s="7" t="s">
        <v>115</v>
      </c>
      <c r="H11" s="7" t="s">
        <v>116</v>
      </c>
      <c r="I11" s="8" t="s">
        <v>39</v>
      </c>
      <c r="J11" s="8" t="s">
        <v>117</v>
      </c>
      <c r="K11" s="8" t="s">
        <v>41</v>
      </c>
      <c r="L11" s="8" t="s">
        <v>42</v>
      </c>
      <c r="M11" s="8" t="s">
        <v>43</v>
      </c>
      <c r="N11" s="8" t="s">
        <v>44</v>
      </c>
      <c r="O11" s="8" t="s">
        <v>45</v>
      </c>
      <c r="P11" s="8" t="s">
        <v>118</v>
      </c>
      <c r="Q11" s="8" t="s">
        <v>119</v>
      </c>
      <c r="R11" s="8"/>
    </row>
    <row r="12" customFormat="false" ht="79.85" hidden="false" customHeight="false" outlineLevel="0" collapsed="false">
      <c r="A12" s="7" t="s">
        <v>120</v>
      </c>
      <c r="B12" s="7" t="s">
        <v>32</v>
      </c>
      <c r="C12" s="7" t="s">
        <v>121</v>
      </c>
      <c r="D12" s="7" t="s">
        <v>34</v>
      </c>
      <c r="E12" s="7" t="s">
        <v>122</v>
      </c>
      <c r="F12" s="7" t="s">
        <v>36</v>
      </c>
      <c r="G12" s="7" t="s">
        <v>123</v>
      </c>
      <c r="H12" s="7" t="s">
        <v>124</v>
      </c>
      <c r="I12" s="8" t="s">
        <v>39</v>
      </c>
      <c r="J12" s="8" t="s">
        <v>125</v>
      </c>
      <c r="K12" s="8" t="s">
        <v>41</v>
      </c>
      <c r="L12" s="8" t="s">
        <v>42</v>
      </c>
      <c r="M12" s="8" t="s">
        <v>43</v>
      </c>
      <c r="N12" s="8" t="s">
        <v>44</v>
      </c>
      <c r="O12" s="8" t="s">
        <v>45</v>
      </c>
      <c r="P12" s="8" t="s">
        <v>126</v>
      </c>
      <c r="Q12" s="8" t="s">
        <v>127</v>
      </c>
      <c r="R12" s="8"/>
    </row>
    <row r="13" customFormat="false" ht="79.85" hidden="false" customHeight="false" outlineLevel="0" collapsed="false">
      <c r="A13" s="7" t="s">
        <v>128</v>
      </c>
      <c r="B13" s="7" t="s">
        <v>32</v>
      </c>
      <c r="C13" s="7" t="s">
        <v>129</v>
      </c>
      <c r="D13" s="7" t="s">
        <v>34</v>
      </c>
      <c r="E13" s="7" t="s">
        <v>130</v>
      </c>
      <c r="F13" s="7" t="s">
        <v>36</v>
      </c>
      <c r="G13" s="7" t="s">
        <v>131</v>
      </c>
      <c r="H13" s="7" t="s">
        <v>132</v>
      </c>
      <c r="I13" s="8" t="s">
        <v>39</v>
      </c>
      <c r="J13" s="8" t="s">
        <v>133</v>
      </c>
      <c r="K13" s="8" t="s">
        <v>41</v>
      </c>
      <c r="L13" s="8" t="s">
        <v>42</v>
      </c>
      <c r="M13" s="8" t="s">
        <v>43</v>
      </c>
      <c r="N13" s="8" t="s">
        <v>44</v>
      </c>
      <c r="O13" s="8" t="s">
        <v>45</v>
      </c>
      <c r="P13" s="8" t="s">
        <v>134</v>
      </c>
      <c r="Q13" s="8" t="s">
        <v>135</v>
      </c>
      <c r="R13" s="8"/>
    </row>
    <row r="14" customFormat="false" ht="91" hidden="false" customHeight="false" outlineLevel="0" collapsed="false">
      <c r="A14" s="7" t="s">
        <v>136</v>
      </c>
      <c r="B14" s="7" t="s">
        <v>32</v>
      </c>
      <c r="C14" s="7" t="s">
        <v>137</v>
      </c>
      <c r="D14" s="7" t="s">
        <v>34</v>
      </c>
      <c r="E14" s="7" t="s">
        <v>138</v>
      </c>
      <c r="F14" s="7" t="s">
        <v>36</v>
      </c>
      <c r="G14" s="7" t="s">
        <v>139</v>
      </c>
      <c r="H14" s="7" t="s">
        <v>140</v>
      </c>
      <c r="I14" s="8" t="s">
        <v>39</v>
      </c>
      <c r="J14" s="8" t="s">
        <v>141</v>
      </c>
      <c r="K14" s="8" t="s">
        <v>41</v>
      </c>
      <c r="L14" s="8" t="s">
        <v>42</v>
      </c>
      <c r="M14" s="8" t="s">
        <v>43</v>
      </c>
      <c r="N14" s="8" t="s">
        <v>44</v>
      </c>
      <c r="O14" s="8" t="s">
        <v>45</v>
      </c>
      <c r="P14" s="8" t="s">
        <v>142</v>
      </c>
      <c r="Q14" s="8" t="s">
        <v>143</v>
      </c>
      <c r="R14" s="8"/>
    </row>
    <row r="15" customFormat="false" ht="68.65" hidden="false" customHeight="false" outlineLevel="0" collapsed="false">
      <c r="A15" s="7" t="s">
        <v>144</v>
      </c>
      <c r="B15" s="7" t="s">
        <v>32</v>
      </c>
      <c r="C15" s="7" t="s">
        <v>145</v>
      </c>
      <c r="D15" s="7" t="s">
        <v>34</v>
      </c>
      <c r="E15" s="7" t="s">
        <v>146</v>
      </c>
      <c r="F15" s="7" t="s">
        <v>36</v>
      </c>
      <c r="G15" s="7" t="s">
        <v>147</v>
      </c>
      <c r="H15" s="7" t="s">
        <v>148</v>
      </c>
      <c r="I15" s="8" t="s">
        <v>39</v>
      </c>
      <c r="J15" s="8" t="s">
        <v>149</v>
      </c>
      <c r="K15" s="8" t="s">
        <v>41</v>
      </c>
      <c r="L15" s="8" t="s">
        <v>42</v>
      </c>
      <c r="M15" s="8" t="s">
        <v>43</v>
      </c>
      <c r="N15" s="8" t="s">
        <v>44</v>
      </c>
      <c r="O15" s="8" t="s">
        <v>45</v>
      </c>
      <c r="P15" s="8" t="s">
        <v>150</v>
      </c>
      <c r="Q15" s="8" t="s">
        <v>151</v>
      </c>
      <c r="R15" s="8"/>
    </row>
    <row r="16" customFormat="false" ht="191.75" hidden="false" customHeight="false" outlineLevel="0" collapsed="false">
      <c r="A16" s="7" t="s">
        <v>152</v>
      </c>
      <c r="B16" s="7" t="s">
        <v>153</v>
      </c>
      <c r="C16" s="7" t="s">
        <v>154</v>
      </c>
      <c r="D16" s="7" t="s">
        <v>34</v>
      </c>
      <c r="E16" s="7" t="s">
        <v>155</v>
      </c>
      <c r="F16" s="7" t="s">
        <v>156</v>
      </c>
      <c r="G16" s="7" t="s">
        <v>157</v>
      </c>
      <c r="H16" s="7" t="s">
        <v>158</v>
      </c>
      <c r="I16" s="8" t="s">
        <v>53</v>
      </c>
      <c r="J16" s="8" t="s">
        <v>159</v>
      </c>
      <c r="K16" s="8" t="s">
        <v>160</v>
      </c>
      <c r="L16" s="8" t="s">
        <v>42</v>
      </c>
      <c r="M16" s="8" t="s">
        <v>161</v>
      </c>
      <c r="N16" s="8" t="s">
        <v>162</v>
      </c>
      <c r="O16" s="8" t="s">
        <v>163</v>
      </c>
      <c r="P16" s="8"/>
      <c r="Q16" s="8"/>
      <c r="R16" s="8"/>
    </row>
    <row r="17" customFormat="false" ht="57.45" hidden="false" customHeight="false" outlineLevel="0" collapsed="false">
      <c r="A17" s="7" t="s">
        <v>164</v>
      </c>
      <c r="B17" s="7" t="s">
        <v>153</v>
      </c>
      <c r="C17" s="7" t="s">
        <v>165</v>
      </c>
      <c r="D17" s="7" t="s">
        <v>34</v>
      </c>
      <c r="E17" s="7" t="s">
        <v>166</v>
      </c>
      <c r="F17" s="7" t="s">
        <v>156</v>
      </c>
      <c r="G17" s="7" t="s">
        <v>167</v>
      </c>
      <c r="H17" s="7" t="s">
        <v>168</v>
      </c>
      <c r="I17" s="8" t="s">
        <v>39</v>
      </c>
      <c r="J17" s="8" t="s">
        <v>169</v>
      </c>
      <c r="K17" s="8" t="s">
        <v>160</v>
      </c>
      <c r="L17" s="8" t="s">
        <v>42</v>
      </c>
      <c r="M17" s="8" t="s">
        <v>161</v>
      </c>
      <c r="N17" s="8" t="s">
        <v>162</v>
      </c>
      <c r="O17" s="8" t="s">
        <v>163</v>
      </c>
      <c r="P17" s="8"/>
      <c r="Q17" s="8" t="s">
        <v>170</v>
      </c>
      <c r="R17" s="8"/>
    </row>
    <row r="18" customFormat="false" ht="57.45" hidden="false" customHeight="false" outlineLevel="0" collapsed="false">
      <c r="A18" s="7" t="s">
        <v>171</v>
      </c>
      <c r="B18" s="7" t="s">
        <v>153</v>
      </c>
      <c r="C18" s="7" t="s">
        <v>172</v>
      </c>
      <c r="D18" s="7" t="s">
        <v>34</v>
      </c>
      <c r="E18" s="7" t="s">
        <v>173</v>
      </c>
      <c r="F18" s="7" t="s">
        <v>156</v>
      </c>
      <c r="G18" s="7" t="s">
        <v>174</v>
      </c>
      <c r="H18" s="7" t="s">
        <v>175</v>
      </c>
      <c r="I18" s="8" t="s">
        <v>39</v>
      </c>
      <c r="J18" s="8" t="s">
        <v>176</v>
      </c>
      <c r="K18" s="8" t="s">
        <v>160</v>
      </c>
      <c r="L18" s="8" t="s">
        <v>42</v>
      </c>
      <c r="M18" s="8" t="s">
        <v>161</v>
      </c>
      <c r="N18" s="8" t="s">
        <v>162</v>
      </c>
      <c r="O18" s="8" t="s">
        <v>163</v>
      </c>
      <c r="P18" s="8"/>
      <c r="Q18" s="8" t="s">
        <v>177</v>
      </c>
      <c r="R18" s="8"/>
    </row>
    <row r="19" customFormat="false" ht="57.45" hidden="false" customHeight="false" outlineLevel="0" collapsed="false">
      <c r="A19" s="7" t="s">
        <v>178</v>
      </c>
      <c r="B19" s="7" t="s">
        <v>153</v>
      </c>
      <c r="C19" s="7" t="s">
        <v>179</v>
      </c>
      <c r="D19" s="7" t="s">
        <v>34</v>
      </c>
      <c r="E19" s="7" t="s">
        <v>180</v>
      </c>
      <c r="F19" s="7" t="s">
        <v>156</v>
      </c>
      <c r="G19" s="7" t="s">
        <v>181</v>
      </c>
      <c r="H19" s="7" t="s">
        <v>182</v>
      </c>
      <c r="I19" s="8" t="s">
        <v>39</v>
      </c>
      <c r="J19" s="8" t="s">
        <v>183</v>
      </c>
      <c r="K19" s="8" t="s">
        <v>160</v>
      </c>
      <c r="L19" s="8" t="s">
        <v>42</v>
      </c>
      <c r="M19" s="8" t="s">
        <v>161</v>
      </c>
      <c r="N19" s="8" t="s">
        <v>162</v>
      </c>
      <c r="O19" s="8" t="s">
        <v>163</v>
      </c>
      <c r="P19" s="8"/>
      <c r="Q19" s="8" t="s">
        <v>184</v>
      </c>
      <c r="R19" s="8"/>
    </row>
    <row r="20" customFormat="false" ht="79.85" hidden="false" customHeight="false" outlineLevel="0" collapsed="false">
      <c r="A20" s="7" t="s">
        <v>185</v>
      </c>
      <c r="B20" s="7" t="s">
        <v>153</v>
      </c>
      <c r="C20" s="7" t="s">
        <v>186</v>
      </c>
      <c r="D20" s="7" t="s">
        <v>34</v>
      </c>
      <c r="E20" s="7" t="s">
        <v>187</v>
      </c>
      <c r="F20" s="7" t="s">
        <v>156</v>
      </c>
      <c r="G20" s="7" t="s">
        <v>188</v>
      </c>
      <c r="H20" s="7" t="s">
        <v>189</v>
      </c>
      <c r="I20" s="8" t="s">
        <v>53</v>
      </c>
      <c r="J20" s="8" t="s">
        <v>190</v>
      </c>
      <c r="K20" s="8" t="s">
        <v>160</v>
      </c>
      <c r="L20" s="8" t="s">
        <v>42</v>
      </c>
      <c r="M20" s="8" t="s">
        <v>161</v>
      </c>
      <c r="N20" s="8" t="s">
        <v>162</v>
      </c>
      <c r="O20" s="8" t="s">
        <v>163</v>
      </c>
      <c r="P20" s="8"/>
      <c r="Q20" s="8"/>
      <c r="R20" s="8"/>
    </row>
    <row r="21" customFormat="false" ht="102.2" hidden="false" customHeight="false" outlineLevel="0" collapsed="false">
      <c r="A21" s="7" t="s">
        <v>191</v>
      </c>
      <c r="B21" s="7" t="s">
        <v>153</v>
      </c>
      <c r="C21" s="7" t="s">
        <v>192</v>
      </c>
      <c r="D21" s="7" t="s">
        <v>34</v>
      </c>
      <c r="E21" s="7" t="s">
        <v>193</v>
      </c>
      <c r="F21" s="7" t="s">
        <v>156</v>
      </c>
      <c r="G21" s="7" t="s">
        <v>194</v>
      </c>
      <c r="H21" s="7" t="s">
        <v>195</v>
      </c>
      <c r="I21" s="8" t="s">
        <v>39</v>
      </c>
      <c r="J21" s="8" t="s">
        <v>196</v>
      </c>
      <c r="K21" s="8" t="s">
        <v>160</v>
      </c>
      <c r="L21" s="8" t="s">
        <v>42</v>
      </c>
      <c r="M21" s="8" t="s">
        <v>161</v>
      </c>
      <c r="N21" s="8" t="s">
        <v>162</v>
      </c>
      <c r="O21" s="8" t="s">
        <v>163</v>
      </c>
      <c r="P21" s="8"/>
      <c r="Q21" s="8" t="s">
        <v>197</v>
      </c>
      <c r="R21" s="8"/>
    </row>
    <row r="22" customFormat="false" ht="57.45" hidden="false" customHeight="false" outlineLevel="0" collapsed="false">
      <c r="A22" s="7" t="s">
        <v>198</v>
      </c>
      <c r="B22" s="7" t="s">
        <v>153</v>
      </c>
      <c r="C22" s="7" t="s">
        <v>199</v>
      </c>
      <c r="D22" s="7" t="s">
        <v>34</v>
      </c>
      <c r="E22" s="7" t="s">
        <v>200</v>
      </c>
      <c r="F22" s="7" t="s">
        <v>156</v>
      </c>
      <c r="G22" s="7" t="s">
        <v>201</v>
      </c>
      <c r="H22" s="7" t="s">
        <v>202</v>
      </c>
      <c r="I22" s="8" t="s">
        <v>39</v>
      </c>
      <c r="J22" s="8" t="s">
        <v>203</v>
      </c>
      <c r="K22" s="8" t="s">
        <v>160</v>
      </c>
      <c r="L22" s="8" t="s">
        <v>42</v>
      </c>
      <c r="M22" s="8" t="s">
        <v>161</v>
      </c>
      <c r="N22" s="8" t="s">
        <v>162</v>
      </c>
      <c r="O22" s="8" t="s">
        <v>163</v>
      </c>
      <c r="P22" s="8"/>
      <c r="Q22" s="8" t="s">
        <v>204</v>
      </c>
      <c r="R22" s="8"/>
    </row>
    <row r="23" customFormat="false" ht="79.85" hidden="false" customHeight="false" outlineLevel="0" collapsed="false">
      <c r="A23" s="7" t="s">
        <v>205</v>
      </c>
      <c r="B23" s="7" t="s">
        <v>153</v>
      </c>
      <c r="C23" s="7" t="s">
        <v>206</v>
      </c>
      <c r="D23" s="7" t="s">
        <v>34</v>
      </c>
      <c r="E23" s="7" t="s">
        <v>207</v>
      </c>
      <c r="F23" s="7" t="s">
        <v>156</v>
      </c>
      <c r="G23" s="7" t="s">
        <v>208</v>
      </c>
      <c r="H23" s="7" t="s">
        <v>209</v>
      </c>
      <c r="I23" s="8" t="s">
        <v>53</v>
      </c>
      <c r="J23" s="8" t="s">
        <v>210</v>
      </c>
      <c r="K23" s="8" t="s">
        <v>160</v>
      </c>
      <c r="L23" s="8" t="s">
        <v>42</v>
      </c>
      <c r="M23" s="8" t="s">
        <v>161</v>
      </c>
      <c r="N23" s="8" t="s">
        <v>162</v>
      </c>
      <c r="O23" s="8" t="s">
        <v>163</v>
      </c>
      <c r="P23" s="8"/>
      <c r="Q23" s="8"/>
      <c r="R23" s="8"/>
    </row>
    <row r="24" customFormat="false" ht="158.2" hidden="false" customHeight="false" outlineLevel="0" collapsed="false">
      <c r="A24" s="7" t="s">
        <v>211</v>
      </c>
      <c r="B24" s="7" t="s">
        <v>153</v>
      </c>
      <c r="C24" s="7" t="s">
        <v>212</v>
      </c>
      <c r="D24" s="7" t="s">
        <v>34</v>
      </c>
      <c r="E24" s="7" t="s">
        <v>213</v>
      </c>
      <c r="F24" s="7" t="s">
        <v>156</v>
      </c>
      <c r="G24" s="7" t="s">
        <v>214</v>
      </c>
      <c r="H24" s="7" t="s">
        <v>215</v>
      </c>
      <c r="I24" s="8" t="s">
        <v>39</v>
      </c>
      <c r="J24" s="8" t="s">
        <v>216</v>
      </c>
      <c r="K24" s="8" t="s">
        <v>160</v>
      </c>
      <c r="L24" s="8" t="s">
        <v>42</v>
      </c>
      <c r="M24" s="8" t="s">
        <v>161</v>
      </c>
      <c r="N24" s="8" t="s">
        <v>162</v>
      </c>
      <c r="O24" s="8" t="s">
        <v>163</v>
      </c>
      <c r="P24" s="8"/>
      <c r="Q24" s="8" t="s">
        <v>217</v>
      </c>
      <c r="R24" s="8"/>
    </row>
    <row r="25" customFormat="false" ht="68.65" hidden="false" customHeight="false" outlineLevel="0" collapsed="false">
      <c r="A25" s="7" t="s">
        <v>218</v>
      </c>
      <c r="B25" s="7" t="s">
        <v>153</v>
      </c>
      <c r="C25" s="7" t="s">
        <v>219</v>
      </c>
      <c r="D25" s="7" t="s">
        <v>34</v>
      </c>
      <c r="E25" s="7" t="s">
        <v>220</v>
      </c>
      <c r="F25" s="7" t="s">
        <v>156</v>
      </c>
      <c r="G25" s="7" t="s">
        <v>221</v>
      </c>
      <c r="H25" s="7" t="s">
        <v>222</v>
      </c>
      <c r="I25" s="8" t="s">
        <v>39</v>
      </c>
      <c r="J25" s="8" t="s">
        <v>223</v>
      </c>
      <c r="K25" s="8" t="s">
        <v>160</v>
      </c>
      <c r="L25" s="8" t="s">
        <v>42</v>
      </c>
      <c r="M25" s="8" t="s">
        <v>161</v>
      </c>
      <c r="N25" s="8" t="s">
        <v>162</v>
      </c>
      <c r="O25" s="8" t="s">
        <v>163</v>
      </c>
      <c r="P25" s="8"/>
      <c r="Q25" s="8" t="s">
        <v>224</v>
      </c>
      <c r="R25" s="8"/>
    </row>
    <row r="26" customFormat="false" ht="57.45" hidden="false" customHeight="false" outlineLevel="0" collapsed="false">
      <c r="A26" s="7" t="s">
        <v>225</v>
      </c>
      <c r="B26" s="7" t="s">
        <v>226</v>
      </c>
      <c r="C26" s="7" t="s">
        <v>227</v>
      </c>
      <c r="D26" s="7" t="s">
        <v>34</v>
      </c>
      <c r="E26" s="7" t="s">
        <v>228</v>
      </c>
      <c r="F26" s="7" t="s">
        <v>229</v>
      </c>
      <c r="G26" s="7" t="s">
        <v>230</v>
      </c>
      <c r="H26" s="7" t="s">
        <v>231</v>
      </c>
      <c r="I26" s="8" t="s">
        <v>53</v>
      </c>
      <c r="J26" s="8" t="s">
        <v>232</v>
      </c>
      <c r="K26" s="8" t="s">
        <v>160</v>
      </c>
      <c r="L26" s="8" t="s">
        <v>42</v>
      </c>
      <c r="M26" s="8" t="s">
        <v>233</v>
      </c>
      <c r="N26" s="8" t="s">
        <v>234</v>
      </c>
      <c r="O26" s="8" t="s">
        <v>235</v>
      </c>
      <c r="P26" s="8"/>
      <c r="Q26" s="8"/>
      <c r="R26" s="8"/>
    </row>
    <row r="27" customFormat="false" ht="79.85" hidden="false" customHeight="false" outlineLevel="0" collapsed="false">
      <c r="A27" s="7" t="s">
        <v>236</v>
      </c>
      <c r="B27" s="7" t="s">
        <v>226</v>
      </c>
      <c r="C27" s="7" t="s">
        <v>227</v>
      </c>
      <c r="D27" s="7" t="s">
        <v>34</v>
      </c>
      <c r="E27" s="7" t="s">
        <v>237</v>
      </c>
      <c r="F27" s="7" t="s">
        <v>229</v>
      </c>
      <c r="G27" s="7" t="s">
        <v>238</v>
      </c>
      <c r="H27" s="7" t="s">
        <v>239</v>
      </c>
      <c r="I27" s="8" t="s">
        <v>53</v>
      </c>
      <c r="J27" s="8" t="s">
        <v>240</v>
      </c>
      <c r="K27" s="8" t="s">
        <v>160</v>
      </c>
      <c r="L27" s="8" t="s">
        <v>42</v>
      </c>
      <c r="M27" s="8" t="s">
        <v>233</v>
      </c>
      <c r="N27" s="8" t="s">
        <v>234</v>
      </c>
      <c r="O27" s="8" t="s">
        <v>235</v>
      </c>
      <c r="P27" s="8"/>
      <c r="Q27" s="8" t="s">
        <v>241</v>
      </c>
      <c r="R27" s="8"/>
    </row>
    <row r="28" customFormat="false" ht="79.85" hidden="false" customHeight="false" outlineLevel="0" collapsed="false">
      <c r="A28" s="7" t="s">
        <v>242</v>
      </c>
      <c r="B28" s="7" t="s">
        <v>226</v>
      </c>
      <c r="C28" s="7" t="s">
        <v>227</v>
      </c>
      <c r="D28" s="7" t="s">
        <v>34</v>
      </c>
      <c r="E28" s="7" t="s">
        <v>243</v>
      </c>
      <c r="F28" s="7" t="s">
        <v>229</v>
      </c>
      <c r="G28" s="7" t="s">
        <v>244</v>
      </c>
      <c r="H28" s="7" t="s">
        <v>245</v>
      </c>
      <c r="I28" s="8" t="s">
        <v>53</v>
      </c>
      <c r="J28" s="8" t="s">
        <v>246</v>
      </c>
      <c r="K28" s="8" t="s">
        <v>41</v>
      </c>
      <c r="L28" s="8" t="s">
        <v>42</v>
      </c>
      <c r="M28" s="8" t="s">
        <v>43</v>
      </c>
      <c r="N28" s="8" t="s">
        <v>44</v>
      </c>
      <c r="O28" s="8" t="s">
        <v>45</v>
      </c>
      <c r="P28" s="8" t="s">
        <v>247</v>
      </c>
      <c r="Q28" s="8"/>
      <c r="R28" s="8"/>
    </row>
    <row r="29" customFormat="false" ht="46.25" hidden="false" customHeight="false" outlineLevel="0" collapsed="false">
      <c r="A29" s="7" t="s">
        <v>248</v>
      </c>
      <c r="B29" s="7" t="s">
        <v>226</v>
      </c>
      <c r="C29" s="7" t="s">
        <v>227</v>
      </c>
      <c r="D29" s="7" t="s">
        <v>34</v>
      </c>
      <c r="E29" s="7" t="s">
        <v>249</v>
      </c>
      <c r="F29" s="7" t="s">
        <v>229</v>
      </c>
      <c r="G29" s="7" t="s">
        <v>250</v>
      </c>
      <c r="H29" s="7" t="s">
        <v>251</v>
      </c>
      <c r="I29" s="8" t="s">
        <v>53</v>
      </c>
      <c r="J29" s="8" t="s">
        <v>252</v>
      </c>
      <c r="K29" s="8" t="s">
        <v>160</v>
      </c>
      <c r="L29" s="8" t="s">
        <v>42</v>
      </c>
      <c r="M29" s="8" t="s">
        <v>233</v>
      </c>
      <c r="N29" s="8" t="s">
        <v>234</v>
      </c>
      <c r="O29" s="8" t="s">
        <v>235</v>
      </c>
      <c r="P29" s="8"/>
      <c r="Q29" s="8"/>
      <c r="R29" s="8"/>
    </row>
    <row r="30" customFormat="false" ht="57.45" hidden="false" customHeight="false" outlineLevel="0" collapsed="false">
      <c r="A30" s="7" t="s">
        <v>253</v>
      </c>
      <c r="B30" s="7" t="s">
        <v>226</v>
      </c>
      <c r="C30" s="7" t="s">
        <v>227</v>
      </c>
      <c r="D30" s="7" t="s">
        <v>34</v>
      </c>
      <c r="E30" s="7" t="s">
        <v>254</v>
      </c>
      <c r="F30" s="7" t="s">
        <v>229</v>
      </c>
      <c r="G30" s="7" t="s">
        <v>255</v>
      </c>
      <c r="H30" s="7" t="s">
        <v>256</v>
      </c>
      <c r="I30" s="8" t="s">
        <v>53</v>
      </c>
      <c r="J30" s="8" t="s">
        <v>257</v>
      </c>
      <c r="K30" s="8" t="s">
        <v>160</v>
      </c>
      <c r="L30" s="8" t="s">
        <v>42</v>
      </c>
      <c r="M30" s="8" t="s">
        <v>233</v>
      </c>
      <c r="N30" s="8" t="s">
        <v>234</v>
      </c>
      <c r="O30" s="8" t="s">
        <v>235</v>
      </c>
      <c r="P30" s="8"/>
      <c r="Q30" s="8"/>
      <c r="R30" s="8"/>
    </row>
    <row r="31" customFormat="false" ht="79.85" hidden="false" customHeight="false" outlineLevel="0" collapsed="false">
      <c r="A31" s="7" t="s">
        <v>258</v>
      </c>
      <c r="B31" s="7" t="s">
        <v>226</v>
      </c>
      <c r="C31" s="7" t="s">
        <v>227</v>
      </c>
      <c r="D31" s="7" t="s">
        <v>34</v>
      </c>
      <c r="E31" s="7" t="s">
        <v>259</v>
      </c>
      <c r="F31" s="7" t="s">
        <v>229</v>
      </c>
      <c r="G31" s="7" t="s">
        <v>260</v>
      </c>
      <c r="H31" s="7" t="s">
        <v>261</v>
      </c>
      <c r="I31" s="8" t="s">
        <v>39</v>
      </c>
      <c r="J31" s="8" t="s">
        <v>262</v>
      </c>
      <c r="K31" s="8" t="s">
        <v>160</v>
      </c>
      <c r="L31" s="8" t="s">
        <v>42</v>
      </c>
      <c r="M31" s="8" t="s">
        <v>233</v>
      </c>
      <c r="N31" s="8" t="s">
        <v>234</v>
      </c>
      <c r="O31" s="8" t="s">
        <v>235</v>
      </c>
      <c r="P31" s="8"/>
      <c r="Q31" s="8" t="s">
        <v>263</v>
      </c>
      <c r="R31" s="8"/>
    </row>
    <row r="32" customFormat="false" ht="91" hidden="false" customHeight="false" outlineLevel="0" collapsed="false">
      <c r="A32" s="7" t="s">
        <v>264</v>
      </c>
      <c r="B32" s="7" t="s">
        <v>226</v>
      </c>
      <c r="C32" s="7" t="s">
        <v>227</v>
      </c>
      <c r="D32" s="7" t="s">
        <v>34</v>
      </c>
      <c r="E32" s="7" t="s">
        <v>265</v>
      </c>
      <c r="F32" s="7" t="s">
        <v>229</v>
      </c>
      <c r="G32" s="7" t="s">
        <v>266</v>
      </c>
      <c r="H32" s="7" t="s">
        <v>267</v>
      </c>
      <c r="I32" s="8" t="s">
        <v>53</v>
      </c>
      <c r="J32" s="8" t="s">
        <v>268</v>
      </c>
      <c r="K32" s="8" t="s">
        <v>41</v>
      </c>
      <c r="L32" s="8" t="s">
        <v>42</v>
      </c>
      <c r="M32" s="8" t="s">
        <v>43</v>
      </c>
      <c r="N32" s="8" t="s">
        <v>44</v>
      </c>
      <c r="O32" s="8" t="s">
        <v>45</v>
      </c>
      <c r="P32" s="8" t="s">
        <v>269</v>
      </c>
      <c r="Q32" s="8"/>
      <c r="R32" s="8"/>
    </row>
    <row r="33" customFormat="false" ht="91" hidden="false" customHeight="false" outlineLevel="0" collapsed="false">
      <c r="A33" s="7" t="s">
        <v>270</v>
      </c>
      <c r="B33" s="7" t="s">
        <v>226</v>
      </c>
      <c r="C33" s="7" t="s">
        <v>227</v>
      </c>
      <c r="D33" s="7" t="s">
        <v>34</v>
      </c>
      <c r="E33" s="7" t="s">
        <v>271</v>
      </c>
      <c r="F33" s="7" t="s">
        <v>229</v>
      </c>
      <c r="G33" s="7" t="s">
        <v>272</v>
      </c>
      <c r="H33" s="7" t="s">
        <v>273</v>
      </c>
      <c r="I33" s="8" t="s">
        <v>53</v>
      </c>
      <c r="J33" s="8" t="s">
        <v>274</v>
      </c>
      <c r="K33" s="8" t="s">
        <v>41</v>
      </c>
      <c r="L33" s="8" t="s">
        <v>42</v>
      </c>
      <c r="M33" s="8" t="s">
        <v>43</v>
      </c>
      <c r="N33" s="8" t="s">
        <v>44</v>
      </c>
      <c r="O33" s="8" t="s">
        <v>45</v>
      </c>
      <c r="P33" s="8" t="s">
        <v>275</v>
      </c>
      <c r="Q33" s="8"/>
      <c r="R33" s="8"/>
    </row>
    <row r="34" customFormat="false" ht="35.05" hidden="false" customHeight="false" outlineLevel="0" collapsed="false">
      <c r="A34" s="7" t="s">
        <v>276</v>
      </c>
      <c r="B34" s="7" t="s">
        <v>277</v>
      </c>
      <c r="C34" s="7" t="s">
        <v>278</v>
      </c>
      <c r="D34" s="7" t="s">
        <v>34</v>
      </c>
      <c r="E34" s="7" t="s">
        <v>279</v>
      </c>
      <c r="F34" s="7" t="s">
        <v>280</v>
      </c>
      <c r="G34" s="7" t="s">
        <v>281</v>
      </c>
      <c r="H34" s="7" t="s">
        <v>282</v>
      </c>
      <c r="I34" s="8" t="s">
        <v>39</v>
      </c>
      <c r="J34" s="8" t="s">
        <v>283</v>
      </c>
      <c r="K34" s="8" t="s">
        <v>160</v>
      </c>
      <c r="L34" s="8" t="s">
        <v>42</v>
      </c>
      <c r="M34" s="8" t="s">
        <v>161</v>
      </c>
      <c r="N34" s="8" t="s">
        <v>162</v>
      </c>
      <c r="O34" s="8" t="s">
        <v>163</v>
      </c>
      <c r="P34" s="8"/>
      <c r="Q34" s="8" t="s">
        <v>284</v>
      </c>
      <c r="R34" s="8"/>
    </row>
    <row r="35" customFormat="false" ht="57.45" hidden="false" customHeight="false" outlineLevel="0" collapsed="false">
      <c r="A35" s="7" t="s">
        <v>285</v>
      </c>
      <c r="B35" s="7" t="s">
        <v>277</v>
      </c>
      <c r="C35" s="7" t="s">
        <v>278</v>
      </c>
      <c r="D35" s="7" t="s">
        <v>34</v>
      </c>
      <c r="E35" s="7" t="s">
        <v>286</v>
      </c>
      <c r="F35" s="7" t="s">
        <v>280</v>
      </c>
      <c r="G35" s="7" t="s">
        <v>287</v>
      </c>
      <c r="H35" s="7" t="s">
        <v>288</v>
      </c>
      <c r="I35" s="8" t="s">
        <v>39</v>
      </c>
      <c r="J35" s="8" t="s">
        <v>289</v>
      </c>
      <c r="K35" s="8" t="s">
        <v>160</v>
      </c>
      <c r="L35" s="8" t="s">
        <v>42</v>
      </c>
      <c r="M35" s="8" t="s">
        <v>233</v>
      </c>
      <c r="N35" s="8" t="s">
        <v>234</v>
      </c>
      <c r="O35" s="8" t="s">
        <v>235</v>
      </c>
      <c r="P35" s="8"/>
      <c r="Q35" s="8" t="s">
        <v>290</v>
      </c>
      <c r="R35" s="8"/>
    </row>
    <row r="36" customFormat="false" ht="46.25" hidden="false" customHeight="false" outlineLevel="0" collapsed="false">
      <c r="A36" s="7" t="s">
        <v>291</v>
      </c>
      <c r="B36" s="7" t="s">
        <v>277</v>
      </c>
      <c r="C36" s="7" t="s">
        <v>278</v>
      </c>
      <c r="D36" s="7" t="s">
        <v>34</v>
      </c>
      <c r="E36" s="7" t="s">
        <v>292</v>
      </c>
      <c r="F36" s="7" t="s">
        <v>280</v>
      </c>
      <c r="G36" s="7" t="s">
        <v>293</v>
      </c>
      <c r="H36" s="7" t="s">
        <v>294</v>
      </c>
      <c r="I36" s="8" t="s">
        <v>53</v>
      </c>
      <c r="J36" s="8" t="s">
        <v>295</v>
      </c>
      <c r="K36" s="8" t="s">
        <v>160</v>
      </c>
      <c r="L36" s="8" t="s">
        <v>42</v>
      </c>
      <c r="M36" s="8" t="s">
        <v>233</v>
      </c>
      <c r="N36" s="8" t="s">
        <v>234</v>
      </c>
      <c r="O36" s="8" t="s">
        <v>235</v>
      </c>
      <c r="P36" s="8"/>
      <c r="Q36" s="8"/>
      <c r="R36" s="8"/>
    </row>
    <row r="37" customFormat="false" ht="46.25" hidden="false" customHeight="false" outlineLevel="0" collapsed="false">
      <c r="A37" s="7" t="s">
        <v>296</v>
      </c>
      <c r="B37" s="7" t="s">
        <v>277</v>
      </c>
      <c r="C37" s="7" t="s">
        <v>278</v>
      </c>
      <c r="D37" s="7" t="s">
        <v>34</v>
      </c>
      <c r="E37" s="7" t="s">
        <v>297</v>
      </c>
      <c r="F37" s="7" t="s">
        <v>280</v>
      </c>
      <c r="G37" s="7" t="s">
        <v>298</v>
      </c>
      <c r="H37" s="7" t="s">
        <v>299</v>
      </c>
      <c r="I37" s="8" t="s">
        <v>39</v>
      </c>
      <c r="J37" s="8" t="s">
        <v>300</v>
      </c>
      <c r="K37" s="8" t="s">
        <v>160</v>
      </c>
      <c r="L37" s="8" t="s">
        <v>42</v>
      </c>
      <c r="M37" s="8" t="s">
        <v>233</v>
      </c>
      <c r="N37" s="8" t="s">
        <v>234</v>
      </c>
      <c r="O37" s="8" t="s">
        <v>235</v>
      </c>
      <c r="P37" s="8"/>
      <c r="Q37" s="8" t="s">
        <v>301</v>
      </c>
      <c r="R37" s="8"/>
    </row>
    <row r="38" customFormat="false" ht="124.6" hidden="false" customHeight="false" outlineLevel="0" collapsed="false">
      <c r="A38" s="7" t="s">
        <v>302</v>
      </c>
      <c r="B38" s="7" t="s">
        <v>277</v>
      </c>
      <c r="C38" s="7" t="s">
        <v>278</v>
      </c>
      <c r="D38" s="7" t="s">
        <v>34</v>
      </c>
      <c r="E38" s="7" t="s">
        <v>303</v>
      </c>
      <c r="F38" s="7" t="s">
        <v>280</v>
      </c>
      <c r="G38" s="7" t="s">
        <v>304</v>
      </c>
      <c r="H38" s="7" t="s">
        <v>305</v>
      </c>
      <c r="I38" s="8" t="s">
        <v>53</v>
      </c>
      <c r="J38" s="8" t="s">
        <v>306</v>
      </c>
      <c r="K38" s="8" t="s">
        <v>41</v>
      </c>
      <c r="L38" s="8" t="s">
        <v>42</v>
      </c>
      <c r="M38" s="8" t="s">
        <v>43</v>
      </c>
      <c r="N38" s="8" t="s">
        <v>44</v>
      </c>
      <c r="O38" s="8" t="s">
        <v>45</v>
      </c>
      <c r="P38" s="8" t="s">
        <v>307</v>
      </c>
      <c r="Q38" s="8"/>
      <c r="R38" s="8"/>
    </row>
    <row r="39" customFormat="false" ht="79.85" hidden="false" customHeight="false" outlineLevel="0" collapsed="false">
      <c r="A39" s="7" t="s">
        <v>308</v>
      </c>
      <c r="B39" s="7" t="s">
        <v>277</v>
      </c>
      <c r="C39" s="7" t="s">
        <v>278</v>
      </c>
      <c r="D39" s="7" t="s">
        <v>34</v>
      </c>
      <c r="E39" s="7" t="s">
        <v>309</v>
      </c>
      <c r="F39" s="7" t="s">
        <v>280</v>
      </c>
      <c r="G39" s="7" t="s">
        <v>310</v>
      </c>
      <c r="H39" s="7" t="s">
        <v>311</v>
      </c>
      <c r="I39" s="8" t="s">
        <v>53</v>
      </c>
      <c r="J39" s="8" t="s">
        <v>312</v>
      </c>
      <c r="K39" s="8" t="s">
        <v>160</v>
      </c>
      <c r="L39" s="8" t="s">
        <v>42</v>
      </c>
      <c r="M39" s="8" t="s">
        <v>233</v>
      </c>
      <c r="N39" s="8" t="s">
        <v>234</v>
      </c>
      <c r="O39" s="8" t="s">
        <v>235</v>
      </c>
      <c r="P39" s="8"/>
      <c r="Q39" s="8"/>
      <c r="R39" s="8"/>
    </row>
    <row r="40" customFormat="false" ht="46.25" hidden="false" customHeight="false" outlineLevel="0" collapsed="false">
      <c r="A40" s="7" t="s">
        <v>313</v>
      </c>
      <c r="B40" s="7" t="s">
        <v>277</v>
      </c>
      <c r="C40" s="7" t="s">
        <v>278</v>
      </c>
      <c r="D40" s="7" t="s">
        <v>34</v>
      </c>
      <c r="E40" s="7" t="s">
        <v>314</v>
      </c>
      <c r="F40" s="7" t="s">
        <v>280</v>
      </c>
      <c r="G40" s="7" t="s">
        <v>315</v>
      </c>
      <c r="H40" s="7" t="s">
        <v>316</v>
      </c>
      <c r="I40" s="8" t="s">
        <v>39</v>
      </c>
      <c r="J40" s="8" t="s">
        <v>317</v>
      </c>
      <c r="K40" s="8" t="s">
        <v>160</v>
      </c>
      <c r="L40" s="8" t="s">
        <v>42</v>
      </c>
      <c r="M40" s="8" t="s">
        <v>161</v>
      </c>
      <c r="N40" s="8" t="s">
        <v>162</v>
      </c>
      <c r="O40" s="8" t="s">
        <v>163</v>
      </c>
      <c r="P40" s="8"/>
      <c r="Q40" s="8" t="s">
        <v>318</v>
      </c>
      <c r="R40" s="8"/>
    </row>
    <row r="41" customFormat="false" ht="68.65" hidden="false" customHeight="false" outlineLevel="0" collapsed="false">
      <c r="A41" s="7" t="s">
        <v>319</v>
      </c>
      <c r="B41" s="7" t="s">
        <v>277</v>
      </c>
      <c r="C41" s="7" t="s">
        <v>278</v>
      </c>
      <c r="D41" s="7" t="s">
        <v>34</v>
      </c>
      <c r="E41" s="7" t="s">
        <v>320</v>
      </c>
      <c r="F41" s="7" t="s">
        <v>280</v>
      </c>
      <c r="G41" s="7" t="s">
        <v>321</v>
      </c>
      <c r="H41" s="7" t="s">
        <v>322</v>
      </c>
      <c r="I41" s="8" t="s">
        <v>53</v>
      </c>
      <c r="J41" s="8" t="s">
        <v>323</v>
      </c>
      <c r="K41" s="8" t="s">
        <v>41</v>
      </c>
      <c r="L41" s="8" t="s">
        <v>42</v>
      </c>
      <c r="M41" s="8" t="s">
        <v>43</v>
      </c>
      <c r="N41" s="8" t="s">
        <v>44</v>
      </c>
      <c r="O41" s="8" t="s">
        <v>45</v>
      </c>
      <c r="P41" s="8" t="s">
        <v>324</v>
      </c>
      <c r="Q41" s="8"/>
      <c r="R41" s="8"/>
    </row>
    <row r="42" customFormat="false" ht="46.25" hidden="false" customHeight="false" outlineLevel="0" collapsed="false">
      <c r="A42" s="7" t="s">
        <v>325</v>
      </c>
      <c r="B42" s="7" t="s">
        <v>277</v>
      </c>
      <c r="C42" s="7" t="s">
        <v>278</v>
      </c>
      <c r="D42" s="7" t="s">
        <v>34</v>
      </c>
      <c r="E42" s="7" t="s">
        <v>326</v>
      </c>
      <c r="F42" s="7" t="s">
        <v>280</v>
      </c>
      <c r="G42" s="7" t="s">
        <v>327</v>
      </c>
      <c r="H42" s="7" t="s">
        <v>328</v>
      </c>
      <c r="I42" s="8" t="s">
        <v>53</v>
      </c>
      <c r="J42" s="8" t="s">
        <v>329</v>
      </c>
      <c r="K42" s="8" t="s">
        <v>160</v>
      </c>
      <c r="L42" s="8" t="s">
        <v>42</v>
      </c>
      <c r="M42" s="8" t="s">
        <v>233</v>
      </c>
      <c r="N42" s="8" t="s">
        <v>234</v>
      </c>
      <c r="O42" s="8" t="s">
        <v>235</v>
      </c>
      <c r="P42" s="8"/>
      <c r="Q42" s="8"/>
      <c r="R42" s="8"/>
    </row>
    <row r="43" customFormat="false" ht="46.25" hidden="false" customHeight="false" outlineLevel="0" collapsed="false">
      <c r="A43" s="7" t="s">
        <v>330</v>
      </c>
      <c r="B43" s="7" t="s">
        <v>277</v>
      </c>
      <c r="C43" s="7" t="s">
        <v>278</v>
      </c>
      <c r="D43" s="7" t="s">
        <v>34</v>
      </c>
      <c r="E43" s="7" t="s">
        <v>331</v>
      </c>
      <c r="F43" s="7" t="s">
        <v>280</v>
      </c>
      <c r="G43" s="7" t="s">
        <v>332</v>
      </c>
      <c r="H43" s="7" t="s">
        <v>333</v>
      </c>
      <c r="I43" s="8" t="s">
        <v>39</v>
      </c>
      <c r="J43" s="8" t="s">
        <v>334</v>
      </c>
      <c r="K43" s="8" t="s">
        <v>160</v>
      </c>
      <c r="L43" s="8" t="s">
        <v>42</v>
      </c>
      <c r="M43" s="8" t="s">
        <v>161</v>
      </c>
      <c r="N43" s="8" t="s">
        <v>162</v>
      </c>
      <c r="O43" s="8" t="s">
        <v>163</v>
      </c>
      <c r="P43" s="8"/>
      <c r="Q43" s="8" t="s">
        <v>335</v>
      </c>
      <c r="R43" s="8"/>
    </row>
    <row r="44" customFormat="false" ht="35.05" hidden="false" customHeight="false" outlineLevel="0" collapsed="false">
      <c r="A44" s="7" t="s">
        <v>336</v>
      </c>
      <c r="B44" s="7" t="s">
        <v>337</v>
      </c>
      <c r="C44" s="7" t="s">
        <v>338</v>
      </c>
      <c r="D44" s="7" t="s">
        <v>34</v>
      </c>
      <c r="E44" s="7" t="s">
        <v>339</v>
      </c>
      <c r="F44" s="7" t="s">
        <v>340</v>
      </c>
      <c r="G44" s="7" t="s">
        <v>341</v>
      </c>
      <c r="H44" s="7" t="s">
        <v>342</v>
      </c>
      <c r="I44" s="8" t="s">
        <v>53</v>
      </c>
      <c r="J44" s="8" t="s">
        <v>343</v>
      </c>
      <c r="K44" s="8" t="s">
        <v>160</v>
      </c>
      <c r="L44" s="8" t="s">
        <v>42</v>
      </c>
      <c r="M44" s="8" t="s">
        <v>344</v>
      </c>
      <c r="N44" s="8"/>
      <c r="O44" s="8"/>
      <c r="P44" s="8"/>
      <c r="Q44" s="8"/>
      <c r="R44" s="8"/>
    </row>
    <row r="45" customFormat="false" ht="35.05" hidden="false" customHeight="false" outlineLevel="0" collapsed="false">
      <c r="A45" s="7" t="s">
        <v>345</v>
      </c>
      <c r="B45" s="7" t="s">
        <v>337</v>
      </c>
      <c r="C45" s="7" t="s">
        <v>338</v>
      </c>
      <c r="D45" s="7" t="s">
        <v>34</v>
      </c>
      <c r="E45" s="7" t="s">
        <v>346</v>
      </c>
      <c r="F45" s="7" t="s">
        <v>340</v>
      </c>
      <c r="G45" s="7" t="s">
        <v>347</v>
      </c>
      <c r="H45" s="7" t="s">
        <v>348</v>
      </c>
      <c r="I45" s="8" t="s">
        <v>53</v>
      </c>
      <c r="J45" s="8" t="s">
        <v>343</v>
      </c>
      <c r="K45" s="8" t="s">
        <v>160</v>
      </c>
      <c r="L45" s="8" t="s">
        <v>42</v>
      </c>
      <c r="M45" s="8" t="s">
        <v>344</v>
      </c>
      <c r="N45" s="8"/>
      <c r="O45" s="8"/>
      <c r="P45" s="8"/>
      <c r="Q45" s="8"/>
      <c r="R45" s="8"/>
    </row>
    <row r="46" customFormat="false" ht="35.05" hidden="false" customHeight="false" outlineLevel="0" collapsed="false">
      <c r="A46" s="7" t="s">
        <v>349</v>
      </c>
      <c r="B46" s="7" t="s">
        <v>337</v>
      </c>
      <c r="C46" s="7" t="s">
        <v>338</v>
      </c>
      <c r="D46" s="7" t="s">
        <v>34</v>
      </c>
      <c r="E46" s="7" t="s">
        <v>350</v>
      </c>
      <c r="F46" s="7" t="s">
        <v>340</v>
      </c>
      <c r="G46" s="7" t="s">
        <v>351</v>
      </c>
      <c r="H46" s="7" t="s">
        <v>352</v>
      </c>
      <c r="I46" s="8" t="s">
        <v>53</v>
      </c>
      <c r="J46" s="8" t="s">
        <v>343</v>
      </c>
      <c r="K46" s="8" t="s">
        <v>160</v>
      </c>
      <c r="L46" s="8" t="s">
        <v>42</v>
      </c>
      <c r="M46" s="8" t="s">
        <v>344</v>
      </c>
      <c r="N46" s="8"/>
      <c r="O46" s="8"/>
      <c r="P46" s="8"/>
      <c r="Q46" s="8"/>
      <c r="R46" s="8"/>
    </row>
    <row r="47" customFormat="false" ht="113.4" hidden="false" customHeight="false" outlineLevel="0" collapsed="false">
      <c r="A47" s="7" t="s">
        <v>353</v>
      </c>
      <c r="B47" s="7" t="s">
        <v>337</v>
      </c>
      <c r="C47" s="7" t="s">
        <v>338</v>
      </c>
      <c r="D47" s="7" t="s">
        <v>34</v>
      </c>
      <c r="E47" s="7" t="s">
        <v>354</v>
      </c>
      <c r="F47" s="7" t="s">
        <v>340</v>
      </c>
      <c r="G47" s="7" t="s">
        <v>355</v>
      </c>
      <c r="H47" s="7" t="s">
        <v>356</v>
      </c>
      <c r="I47" s="8" t="s">
        <v>39</v>
      </c>
      <c r="J47" s="8" t="s">
        <v>357</v>
      </c>
      <c r="K47" s="8" t="s">
        <v>160</v>
      </c>
      <c r="L47" s="8" t="s">
        <v>42</v>
      </c>
      <c r="M47" s="8" t="s">
        <v>344</v>
      </c>
      <c r="N47" s="8"/>
      <c r="O47" s="8"/>
      <c r="P47" s="8"/>
      <c r="Q47" s="8" t="s">
        <v>358</v>
      </c>
      <c r="R47" s="8"/>
    </row>
    <row r="48" customFormat="false" ht="35.05" hidden="false" customHeight="false" outlineLevel="0" collapsed="false">
      <c r="A48" s="7" t="s">
        <v>359</v>
      </c>
      <c r="B48" s="7" t="s">
        <v>337</v>
      </c>
      <c r="C48" s="7" t="s">
        <v>338</v>
      </c>
      <c r="D48" s="7" t="s">
        <v>34</v>
      </c>
      <c r="E48" s="7" t="s">
        <v>360</v>
      </c>
      <c r="F48" s="7" t="s">
        <v>340</v>
      </c>
      <c r="G48" s="7" t="s">
        <v>361</v>
      </c>
      <c r="H48" s="7" t="s">
        <v>362</v>
      </c>
      <c r="I48" s="8" t="s">
        <v>53</v>
      </c>
      <c r="J48" s="8" t="s">
        <v>343</v>
      </c>
      <c r="K48" s="8" t="s">
        <v>160</v>
      </c>
      <c r="L48" s="8" t="s">
        <v>42</v>
      </c>
      <c r="M48" s="8" t="s">
        <v>344</v>
      </c>
      <c r="N48" s="8"/>
      <c r="O48" s="8"/>
      <c r="P48" s="8"/>
      <c r="Q48" s="8"/>
      <c r="R48" s="8"/>
    </row>
    <row r="49" customFormat="false" ht="35.05" hidden="false" customHeight="false" outlineLevel="0" collapsed="false">
      <c r="A49" s="7" t="s">
        <v>363</v>
      </c>
      <c r="B49" s="7" t="s">
        <v>337</v>
      </c>
      <c r="C49" s="7" t="s">
        <v>338</v>
      </c>
      <c r="D49" s="7" t="s">
        <v>34</v>
      </c>
      <c r="E49" s="7" t="s">
        <v>364</v>
      </c>
      <c r="F49" s="7" t="s">
        <v>340</v>
      </c>
      <c r="G49" s="7" t="s">
        <v>365</v>
      </c>
      <c r="H49" s="7" t="s">
        <v>366</v>
      </c>
      <c r="I49" s="8" t="s">
        <v>53</v>
      </c>
      <c r="J49" s="8" t="s">
        <v>343</v>
      </c>
      <c r="K49" s="8" t="s">
        <v>160</v>
      </c>
      <c r="L49" s="8" t="s">
        <v>42</v>
      </c>
      <c r="M49" s="8" t="s">
        <v>344</v>
      </c>
      <c r="N49" s="8"/>
      <c r="O49" s="8"/>
      <c r="P49" s="8"/>
      <c r="Q49" s="8"/>
      <c r="R49" s="8"/>
    </row>
    <row r="50" customFormat="false" ht="35.05" hidden="false" customHeight="false" outlineLevel="0" collapsed="false">
      <c r="A50" s="7" t="s">
        <v>367</v>
      </c>
      <c r="B50" s="7" t="s">
        <v>337</v>
      </c>
      <c r="C50" s="7" t="s">
        <v>338</v>
      </c>
      <c r="D50" s="7" t="s">
        <v>34</v>
      </c>
      <c r="E50" s="7" t="s">
        <v>368</v>
      </c>
      <c r="F50" s="7" t="s">
        <v>340</v>
      </c>
      <c r="G50" s="7" t="s">
        <v>369</v>
      </c>
      <c r="H50" s="7" t="s">
        <v>370</v>
      </c>
      <c r="I50" s="8" t="s">
        <v>53</v>
      </c>
      <c r="J50" s="8" t="s">
        <v>343</v>
      </c>
      <c r="K50" s="8" t="s">
        <v>160</v>
      </c>
      <c r="L50" s="8" t="s">
        <v>42</v>
      </c>
      <c r="M50" s="8" t="s">
        <v>344</v>
      </c>
      <c r="N50" s="8"/>
      <c r="O50" s="8"/>
      <c r="P50" s="8"/>
      <c r="Q50" s="8"/>
      <c r="R50" s="8"/>
    </row>
    <row r="51" customFormat="false" ht="35.05" hidden="false" customHeight="false" outlineLevel="0" collapsed="false">
      <c r="A51" s="7" t="s">
        <v>371</v>
      </c>
      <c r="B51" s="7" t="s">
        <v>337</v>
      </c>
      <c r="C51" s="7" t="s">
        <v>338</v>
      </c>
      <c r="D51" s="7" t="s">
        <v>34</v>
      </c>
      <c r="E51" s="7" t="s">
        <v>372</v>
      </c>
      <c r="F51" s="7" t="s">
        <v>340</v>
      </c>
      <c r="G51" s="7" t="s">
        <v>373</v>
      </c>
      <c r="H51" s="7" t="s">
        <v>374</v>
      </c>
      <c r="I51" s="8" t="s">
        <v>53</v>
      </c>
      <c r="J51" s="8" t="s">
        <v>343</v>
      </c>
      <c r="K51" s="8" t="s">
        <v>160</v>
      </c>
      <c r="L51" s="8" t="s">
        <v>42</v>
      </c>
      <c r="M51" s="8" t="s">
        <v>344</v>
      </c>
      <c r="N51" s="8"/>
      <c r="O51" s="8"/>
      <c r="P51" s="8"/>
      <c r="Q51" s="8"/>
      <c r="R51" s="8"/>
    </row>
    <row r="52" customFormat="false" ht="35.05" hidden="false" customHeight="false" outlineLevel="0" collapsed="false">
      <c r="A52" s="7" t="s">
        <v>375</v>
      </c>
      <c r="B52" s="7" t="s">
        <v>337</v>
      </c>
      <c r="C52" s="7" t="s">
        <v>338</v>
      </c>
      <c r="D52" s="7" t="s">
        <v>34</v>
      </c>
      <c r="E52" s="7" t="s">
        <v>376</v>
      </c>
      <c r="F52" s="7" t="s">
        <v>340</v>
      </c>
      <c r="G52" s="7" t="s">
        <v>377</v>
      </c>
      <c r="H52" s="7" t="s">
        <v>378</v>
      </c>
      <c r="I52" s="8" t="s">
        <v>53</v>
      </c>
      <c r="J52" s="8" t="s">
        <v>343</v>
      </c>
      <c r="K52" s="8" t="s">
        <v>160</v>
      </c>
      <c r="L52" s="8" t="s">
        <v>42</v>
      </c>
      <c r="M52" s="8" t="s">
        <v>344</v>
      </c>
      <c r="N52" s="8"/>
      <c r="O52" s="8"/>
      <c r="P52" s="8"/>
      <c r="Q52" s="8"/>
      <c r="R52" s="8"/>
    </row>
    <row r="53" customFormat="false" ht="35.05" hidden="false" customHeight="false" outlineLevel="0" collapsed="false">
      <c r="A53" s="7" t="s">
        <v>379</v>
      </c>
      <c r="B53" s="7" t="s">
        <v>337</v>
      </c>
      <c r="C53" s="7" t="s">
        <v>338</v>
      </c>
      <c r="D53" s="7" t="s">
        <v>34</v>
      </c>
      <c r="E53" s="7" t="s">
        <v>380</v>
      </c>
      <c r="F53" s="7" t="s">
        <v>340</v>
      </c>
      <c r="G53" s="7" t="s">
        <v>381</v>
      </c>
      <c r="H53" s="7" t="s">
        <v>382</v>
      </c>
      <c r="I53" s="8" t="s">
        <v>53</v>
      </c>
      <c r="J53" s="8" t="s">
        <v>343</v>
      </c>
      <c r="K53" s="8" t="s">
        <v>160</v>
      </c>
      <c r="L53" s="8" t="s">
        <v>42</v>
      </c>
      <c r="M53" s="8" t="s">
        <v>344</v>
      </c>
      <c r="N53" s="8"/>
      <c r="O53" s="8"/>
      <c r="P53" s="8"/>
      <c r="Q53" s="8"/>
      <c r="R53" s="8"/>
    </row>
    <row r="54" customFormat="false" ht="35.05" hidden="false" customHeight="false" outlineLevel="0" collapsed="false">
      <c r="A54" s="7" t="s">
        <v>383</v>
      </c>
      <c r="B54" s="7" t="s">
        <v>337</v>
      </c>
      <c r="C54" s="7" t="s">
        <v>338</v>
      </c>
      <c r="D54" s="7" t="s">
        <v>34</v>
      </c>
      <c r="E54" s="7" t="s">
        <v>384</v>
      </c>
      <c r="F54" s="7" t="s">
        <v>340</v>
      </c>
      <c r="G54" s="7" t="s">
        <v>385</v>
      </c>
      <c r="H54" s="7" t="s">
        <v>386</v>
      </c>
      <c r="I54" s="8" t="s">
        <v>53</v>
      </c>
      <c r="J54" s="8" t="s">
        <v>343</v>
      </c>
      <c r="K54" s="8" t="s">
        <v>160</v>
      </c>
      <c r="L54" s="8" t="s">
        <v>42</v>
      </c>
      <c r="M54" s="8" t="s">
        <v>344</v>
      </c>
      <c r="N54" s="8"/>
      <c r="O54" s="8"/>
      <c r="P54" s="8"/>
      <c r="Q54" s="8"/>
      <c r="R54" s="8"/>
    </row>
    <row r="55" customFormat="false" ht="35.05" hidden="false" customHeight="false" outlineLevel="0" collapsed="false">
      <c r="A55" s="7" t="s">
        <v>387</v>
      </c>
      <c r="B55" s="7" t="s">
        <v>337</v>
      </c>
      <c r="C55" s="7" t="s">
        <v>338</v>
      </c>
      <c r="D55" s="7" t="s">
        <v>34</v>
      </c>
      <c r="E55" s="7" t="s">
        <v>388</v>
      </c>
      <c r="F55" s="7" t="s">
        <v>340</v>
      </c>
      <c r="G55" s="7" t="s">
        <v>389</v>
      </c>
      <c r="H55" s="7" t="s">
        <v>390</v>
      </c>
      <c r="I55" s="8" t="s">
        <v>53</v>
      </c>
      <c r="J55" s="8" t="s">
        <v>343</v>
      </c>
      <c r="K55" s="8" t="s">
        <v>160</v>
      </c>
      <c r="L55" s="8" t="s">
        <v>42</v>
      </c>
      <c r="M55" s="8" t="s">
        <v>344</v>
      </c>
      <c r="N55" s="8"/>
      <c r="O55" s="8"/>
      <c r="P55" s="8"/>
      <c r="Q55" s="8"/>
      <c r="R55" s="8"/>
    </row>
    <row r="56" customFormat="false" ht="35.05" hidden="false" customHeight="false" outlineLevel="0" collapsed="false">
      <c r="A56" s="7" t="s">
        <v>391</v>
      </c>
      <c r="B56" s="7" t="s">
        <v>337</v>
      </c>
      <c r="C56" s="7" t="s">
        <v>338</v>
      </c>
      <c r="D56" s="7" t="s">
        <v>34</v>
      </c>
      <c r="E56" s="7" t="s">
        <v>392</v>
      </c>
      <c r="F56" s="7" t="s">
        <v>340</v>
      </c>
      <c r="G56" s="7" t="s">
        <v>393</v>
      </c>
      <c r="H56" s="7" t="s">
        <v>394</v>
      </c>
      <c r="I56" s="8" t="s">
        <v>53</v>
      </c>
      <c r="J56" s="8" t="s">
        <v>343</v>
      </c>
      <c r="K56" s="8" t="s">
        <v>160</v>
      </c>
      <c r="L56" s="8" t="s">
        <v>42</v>
      </c>
      <c r="M56" s="8" t="s">
        <v>344</v>
      </c>
      <c r="N56" s="8"/>
      <c r="O56" s="8"/>
      <c r="P56" s="8"/>
      <c r="Q56" s="8"/>
      <c r="R56" s="8"/>
    </row>
    <row r="57" customFormat="false" ht="35.05" hidden="false" customHeight="false" outlineLevel="0" collapsed="false">
      <c r="A57" s="7" t="s">
        <v>395</v>
      </c>
      <c r="B57" s="7" t="s">
        <v>337</v>
      </c>
      <c r="C57" s="7" t="s">
        <v>338</v>
      </c>
      <c r="D57" s="7" t="s">
        <v>34</v>
      </c>
      <c r="E57" s="7" t="s">
        <v>396</v>
      </c>
      <c r="F57" s="7" t="s">
        <v>340</v>
      </c>
      <c r="G57" s="7" t="s">
        <v>397</v>
      </c>
      <c r="H57" s="7" t="s">
        <v>398</v>
      </c>
      <c r="I57" s="8" t="s">
        <v>53</v>
      </c>
      <c r="J57" s="8" t="s">
        <v>343</v>
      </c>
      <c r="K57" s="8" t="s">
        <v>160</v>
      </c>
      <c r="L57" s="8" t="s">
        <v>42</v>
      </c>
      <c r="M57" s="8" t="s">
        <v>344</v>
      </c>
      <c r="N57" s="8"/>
      <c r="O57" s="8"/>
      <c r="P57" s="8"/>
      <c r="Q57" s="8"/>
      <c r="R57" s="8"/>
    </row>
    <row r="58" customFormat="false" ht="35.05" hidden="false" customHeight="false" outlineLevel="0" collapsed="false">
      <c r="A58" s="7" t="s">
        <v>399</v>
      </c>
      <c r="B58" s="7" t="s">
        <v>337</v>
      </c>
      <c r="C58" s="7" t="s">
        <v>338</v>
      </c>
      <c r="D58" s="7" t="s">
        <v>34</v>
      </c>
      <c r="E58" s="7" t="s">
        <v>400</v>
      </c>
      <c r="F58" s="7" t="s">
        <v>340</v>
      </c>
      <c r="G58" s="7" t="s">
        <v>401</v>
      </c>
      <c r="H58" s="7" t="s">
        <v>402</v>
      </c>
      <c r="I58" s="8" t="s">
        <v>53</v>
      </c>
      <c r="J58" s="8" t="s">
        <v>343</v>
      </c>
      <c r="K58" s="8" t="s">
        <v>160</v>
      </c>
      <c r="L58" s="8" t="s">
        <v>42</v>
      </c>
      <c r="M58" s="8" t="s">
        <v>344</v>
      </c>
      <c r="N58" s="8"/>
      <c r="O58" s="8"/>
      <c r="P58" s="8"/>
      <c r="Q58" s="8"/>
      <c r="R58" s="8"/>
    </row>
    <row r="59" customFormat="false" ht="23.25" hidden="false" customHeight="true" outlineLevel="0" collapsed="false"/>
    <row r="60" customFormat="false" ht="23.25" hidden="false" customHeight="true" outlineLevel="0" collapsed="false"/>
    <row r="61" customFormat="false" ht="23.25" hidden="false" customHeight="true" outlineLevel="0" collapsed="false"/>
    <row r="62" customFormat="false" ht="23.25" hidden="false" customHeight="true" outlineLevel="0" collapsed="false"/>
    <row r="63" customFormat="false" ht="23.25" hidden="false" customHeight="true" outlineLevel="0" collapsed="false"/>
    <row r="64" customFormat="false" ht="23.25" hidden="false" customHeight="true" outlineLevel="0" collapsed="false"/>
    <row r="65" customFormat="false" ht="23.25" hidden="false" customHeight="true" outlineLevel="0" collapsed="false"/>
    <row r="66" customFormat="false" ht="23.25" hidden="false" customHeight="true" outlineLevel="0" collapsed="false"/>
    <row r="67" customFormat="false" ht="23.25" hidden="false" customHeight="true" outlineLevel="0" collapsed="false"/>
    <row r="68" customFormat="false" ht="23.25" hidden="false" customHeight="true" outlineLevel="0" collapsed="false"/>
    <row r="69" customFormat="false" ht="23.25" hidden="false" customHeight="true" outlineLevel="0" collapsed="false"/>
    <row r="70" customFormat="false" ht="23.25" hidden="false" customHeight="true" outlineLevel="0" collapsed="false"/>
    <row r="71" customFormat="false" ht="23.25" hidden="false" customHeight="true" outlineLevel="0" collapsed="false"/>
    <row r="72" customFormat="false" ht="23.25" hidden="false" customHeight="true" outlineLevel="0" collapsed="false"/>
    <row r="73" customFormat="false" ht="23.25" hidden="false" customHeight="true" outlineLevel="0" collapsed="false"/>
    <row r="74" customFormat="false" ht="23.25" hidden="false" customHeight="true" outlineLevel="0" collapsed="false"/>
    <row r="75" customFormat="false" ht="23.25" hidden="false" customHeight="true" outlineLevel="0" collapsed="false"/>
    <row r="76" customFormat="false" ht="23.25" hidden="false" customHeight="true" outlineLevel="0" collapsed="false"/>
    <row r="77" customFormat="false" ht="23.25" hidden="false" customHeight="true" outlineLevel="0" collapsed="false"/>
    <row r="78" customFormat="false" ht="23.25" hidden="false" customHeight="true" outlineLevel="0" collapsed="false"/>
    <row r="79" customFormat="false" ht="23.25" hidden="false" customHeight="true" outlineLevel="0" collapsed="false"/>
    <row r="80" customFormat="false" ht="23.25" hidden="false" customHeight="true" outlineLevel="0" collapsed="false"/>
    <row r="81" customFormat="false" ht="23.25" hidden="false" customHeight="true" outlineLevel="0" collapsed="false"/>
    <row r="82" customFormat="false" ht="23.25" hidden="false" customHeight="true" outlineLevel="0" collapsed="false"/>
    <row r="83" customFormat="false" ht="23.25" hidden="false" customHeight="true" outlineLevel="0" collapsed="false"/>
    <row r="84" customFormat="false" ht="34.5" hidden="false" customHeight="true" outlineLevel="0" collapsed="false"/>
    <row r="85" customFormat="false" ht="15" hidden="false" customHeight="true" outlineLevel="0" collapsed="false"/>
    <row r="86" customFormat="false" ht="23.25" hidden="false" customHeight="true" outlineLevel="0" collapsed="false"/>
    <row r="87" customFormat="false" ht="23.25" hidden="false" customHeight="true" outlineLevel="0" collapsed="false"/>
    <row r="88" customFormat="false" ht="23.25" hidden="false" customHeight="true" outlineLevel="0" collapsed="false"/>
    <row r="89" customFormat="false" ht="23.25" hidden="false" customHeight="true" outlineLevel="0" collapsed="false"/>
    <row r="90" customFormat="false" ht="15" hidden="false" customHeight="true" outlineLevel="0" collapsed="false"/>
    <row r="91" customFormat="false" ht="15" hidden="false" customHeight="true" outlineLevel="0" collapsed="false"/>
    <row r="92" customFormat="false" ht="23.25" hidden="false" customHeight="true" outlineLevel="0" collapsed="false"/>
    <row r="93" customFormat="false" ht="15" hidden="false" customHeight="true" outlineLevel="0" collapsed="false"/>
    <row r="94" customFormat="false" ht="15" hidden="false" customHeight="true" outlineLevel="0" collapsed="false"/>
    <row r="95" customFormat="false" ht="15" hidden="false" customHeight="true" outlineLevel="0" collapsed="false"/>
    <row r="96" customFormat="false" ht="23.25" hidden="false" customHeight="true" outlineLevel="0" collapsed="false"/>
    <row r="97" customFormat="false" ht="15" hidden="false" customHeight="true" outlineLevel="0" collapsed="false"/>
    <row r="98" customFormat="false" ht="15" hidden="false" customHeight="true" outlineLevel="0" collapsed="false"/>
    <row r="99" customFormat="false" ht="15" hidden="false" customHeight="true" outlineLevel="0" collapsed="false"/>
    <row r="100" customFormat="false" ht="15" hidden="false" customHeight="true" outlineLevel="0" collapsed="false"/>
    <row r="101" customFormat="false" ht="15" hidden="false" customHeight="true" outlineLevel="0" collapsed="false"/>
    <row r="102" customFormat="false" ht="15" hidden="false" customHeight="true" outlineLevel="0" collapsed="false"/>
    <row r="103" customFormat="false" ht="23.25" hidden="false" customHeight="true" outlineLevel="0" collapsed="false"/>
    <row r="104" customFormat="false" ht="15" hidden="false" customHeight="true" outlineLevel="0" collapsed="false"/>
    <row r="105" customFormat="false" ht="15" hidden="false" customHeight="true" outlineLevel="0" collapsed="false"/>
    <row r="106" customFormat="false" ht="15" hidden="false" customHeight="true" outlineLevel="0" collapsed="false"/>
    <row r="107" customFormat="false" ht="15" hidden="false" customHeight="true" outlineLevel="0" collapsed="false"/>
  </sheetData>
  <autoFilter ref="A1:R58"/>
  <dataValidations count="1">
    <dataValidation allowBlank="false" errorStyle="stop" operator="between" showDropDown="false" showErrorMessage="false" showInputMessage="false" sqref="I2:I406" type="list">
      <formula1>"Pass,Fail,Blocked,Skipped,Not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s>
  <sheetData>
    <row r="1" customFormat="false" ht="15" hidden="false" customHeight="true" outlineLevel="0" collapsed="false">
      <c r="A1" s="9" t="s">
        <v>21</v>
      </c>
      <c r="B1" s="9" t="s">
        <v>403</v>
      </c>
    </row>
    <row r="2" customFormat="false" ht="15" hidden="false" customHeight="true" outlineLevel="0" collapsed="false">
      <c r="A2" s="10" t="s">
        <v>53</v>
      </c>
      <c r="B2" s="10" t="n">
        <f aca="false">COUNTIF(Checklist!$I$2:$I$500,"Pass")</f>
        <v>30</v>
      </c>
    </row>
    <row r="3" customFormat="false" ht="15" hidden="false" customHeight="true" outlineLevel="0" collapsed="false">
      <c r="A3" s="10" t="s">
        <v>39</v>
      </c>
      <c r="B3" s="10" t="n">
        <f aca="false">COUNTIF(Checklist!$I$2:$I$500,"Fail")</f>
        <v>27</v>
      </c>
    </row>
    <row r="4" customFormat="false" ht="15" hidden="false" customHeight="true" outlineLevel="0" collapsed="false">
      <c r="A4" s="10" t="s">
        <v>404</v>
      </c>
      <c r="B4" s="10" t="n">
        <f aca="false">COUNTA(Checklist!$A$2:$A$500)</f>
        <v>57</v>
      </c>
    </row>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70"/>
    <col collapsed="false" customWidth="true" hidden="false" outlineLevel="0" max="3" min="3" style="0" width="16"/>
    <col collapsed="false" customWidth="true" hidden="false" outlineLevel="0" max="4" min="4" style="0" width="22"/>
    <col collapsed="false" customWidth="true" hidden="false" outlineLevel="0" max="5" min="5" style="0" width="14"/>
    <col collapsed="false" customWidth="true" hidden="false" outlineLevel="0" max="6" min="6" style="0" width="22"/>
  </cols>
  <sheetData>
    <row r="1" customFormat="false" ht="15" hidden="false" customHeight="false" outlineLevel="0" collapsed="false">
      <c r="A1" s="11" t="s">
        <v>29</v>
      </c>
      <c r="B1" s="11" t="s">
        <v>17</v>
      </c>
      <c r="C1" s="11" t="s">
        <v>405</v>
      </c>
      <c r="D1" s="11" t="s">
        <v>406</v>
      </c>
      <c r="E1" s="11" t="s">
        <v>13</v>
      </c>
      <c r="F1" s="11" t="s">
        <v>407</v>
      </c>
    </row>
    <row r="2" customFormat="false" ht="15" hidden="false" customHeight="false" outlineLevel="0" collapsed="false">
      <c r="A2" s="1" t="s">
        <v>47</v>
      </c>
      <c r="B2" s="1" t="s">
        <v>408</v>
      </c>
      <c r="C2" s="1" t="s">
        <v>409</v>
      </c>
      <c r="D2" s="1" t="s">
        <v>410</v>
      </c>
      <c r="E2" s="1" t="s">
        <v>31</v>
      </c>
      <c r="F2" s="1" t="s">
        <v>34</v>
      </c>
    </row>
    <row r="3" customFormat="false" ht="15" hidden="false" customHeight="false" outlineLevel="0" collapsed="false">
      <c r="A3" s="1" t="s">
        <v>63</v>
      </c>
      <c r="B3" s="1" t="s">
        <v>411</v>
      </c>
      <c r="C3" s="1" t="s">
        <v>409</v>
      </c>
      <c r="D3" s="1" t="s">
        <v>410</v>
      </c>
      <c r="E3" s="1" t="s">
        <v>56</v>
      </c>
      <c r="F3" s="1" t="s">
        <v>34</v>
      </c>
    </row>
    <row r="4" customFormat="false" ht="15" hidden="false" customHeight="false" outlineLevel="0" collapsed="false">
      <c r="A4" s="1" t="s">
        <v>71</v>
      </c>
      <c r="B4" s="1" t="s">
        <v>412</v>
      </c>
      <c r="C4" s="1" t="s">
        <v>409</v>
      </c>
      <c r="D4" s="1" t="s">
        <v>410</v>
      </c>
      <c r="E4" s="1" t="s">
        <v>64</v>
      </c>
      <c r="F4" s="1" t="s">
        <v>34</v>
      </c>
    </row>
    <row r="5" customFormat="false" ht="15" hidden="false" customHeight="false" outlineLevel="0" collapsed="false">
      <c r="A5" s="1" t="s">
        <v>79</v>
      </c>
      <c r="B5" s="1" t="s">
        <v>413</v>
      </c>
      <c r="C5" s="1" t="s">
        <v>409</v>
      </c>
      <c r="D5" s="1" t="s">
        <v>410</v>
      </c>
      <c r="E5" s="1" t="s">
        <v>72</v>
      </c>
      <c r="F5" s="1" t="s">
        <v>34</v>
      </c>
    </row>
    <row r="6" customFormat="false" ht="15" hidden="false" customHeight="false" outlineLevel="0" collapsed="false">
      <c r="A6" s="1" t="s">
        <v>87</v>
      </c>
      <c r="B6" s="1" t="s">
        <v>414</v>
      </c>
      <c r="C6" s="1" t="s">
        <v>409</v>
      </c>
      <c r="D6" s="1" t="s">
        <v>410</v>
      </c>
      <c r="E6" s="1" t="s">
        <v>80</v>
      </c>
      <c r="F6" s="1" t="s">
        <v>34</v>
      </c>
    </row>
    <row r="7" customFormat="false" ht="15" hidden="false" customHeight="false" outlineLevel="0" collapsed="false">
      <c r="A7" s="1" t="s">
        <v>95</v>
      </c>
      <c r="B7" s="1" t="s">
        <v>415</v>
      </c>
      <c r="C7" s="1" t="s">
        <v>409</v>
      </c>
      <c r="D7" s="1" t="s">
        <v>410</v>
      </c>
      <c r="E7" s="1" t="s">
        <v>88</v>
      </c>
      <c r="F7" s="1" t="s">
        <v>34</v>
      </c>
    </row>
    <row r="8" customFormat="false" ht="15" hidden="false" customHeight="false" outlineLevel="0" collapsed="false">
      <c r="A8" s="1" t="s">
        <v>103</v>
      </c>
      <c r="B8" s="1" t="s">
        <v>416</v>
      </c>
      <c r="C8" s="1" t="s">
        <v>409</v>
      </c>
      <c r="D8" s="1" t="s">
        <v>410</v>
      </c>
      <c r="E8" s="1" t="s">
        <v>96</v>
      </c>
      <c r="F8" s="1" t="s">
        <v>34</v>
      </c>
    </row>
    <row r="9" customFormat="false" ht="15" hidden="false" customHeight="false" outlineLevel="0" collapsed="false">
      <c r="A9" s="1" t="s">
        <v>111</v>
      </c>
      <c r="B9" s="1" t="s">
        <v>417</v>
      </c>
      <c r="C9" s="1" t="s">
        <v>409</v>
      </c>
      <c r="D9" s="1" t="s">
        <v>410</v>
      </c>
      <c r="E9" s="1" t="s">
        <v>104</v>
      </c>
      <c r="F9" s="1" t="s">
        <v>34</v>
      </c>
    </row>
    <row r="10" customFormat="false" ht="15" hidden="false" customHeight="false" outlineLevel="0" collapsed="false">
      <c r="A10" s="1" t="s">
        <v>119</v>
      </c>
      <c r="B10" s="1" t="s">
        <v>418</v>
      </c>
      <c r="C10" s="1" t="s">
        <v>409</v>
      </c>
      <c r="D10" s="1" t="s">
        <v>410</v>
      </c>
      <c r="E10" s="1" t="s">
        <v>112</v>
      </c>
      <c r="F10" s="1" t="s">
        <v>34</v>
      </c>
    </row>
    <row r="11" customFormat="false" ht="15" hidden="false" customHeight="false" outlineLevel="0" collapsed="false">
      <c r="A11" s="1" t="s">
        <v>127</v>
      </c>
      <c r="B11" s="1" t="s">
        <v>419</v>
      </c>
      <c r="C11" s="1" t="s">
        <v>409</v>
      </c>
      <c r="D11" s="1" t="s">
        <v>410</v>
      </c>
      <c r="E11" s="1" t="s">
        <v>120</v>
      </c>
      <c r="F11" s="1" t="s">
        <v>34</v>
      </c>
    </row>
    <row r="12" customFormat="false" ht="15" hidden="false" customHeight="false" outlineLevel="0" collapsed="false">
      <c r="A12" s="1" t="s">
        <v>135</v>
      </c>
      <c r="B12" s="1" t="s">
        <v>420</v>
      </c>
      <c r="C12" s="1" t="s">
        <v>409</v>
      </c>
      <c r="D12" s="1" t="s">
        <v>410</v>
      </c>
      <c r="E12" s="1" t="s">
        <v>128</v>
      </c>
      <c r="F12" s="1" t="s">
        <v>34</v>
      </c>
    </row>
    <row r="13" customFormat="false" ht="15" hidden="false" customHeight="false" outlineLevel="0" collapsed="false">
      <c r="A13" s="1" t="s">
        <v>143</v>
      </c>
      <c r="B13" s="1" t="s">
        <v>421</v>
      </c>
      <c r="C13" s="1" t="s">
        <v>409</v>
      </c>
      <c r="D13" s="1" t="s">
        <v>410</v>
      </c>
      <c r="E13" s="1" t="s">
        <v>136</v>
      </c>
      <c r="F13" s="1" t="s">
        <v>34</v>
      </c>
    </row>
    <row r="14" customFormat="false" ht="15" hidden="false" customHeight="false" outlineLevel="0" collapsed="false">
      <c r="A14" s="1" t="s">
        <v>151</v>
      </c>
      <c r="B14" s="1" t="s">
        <v>422</v>
      </c>
      <c r="C14" s="1" t="s">
        <v>409</v>
      </c>
      <c r="D14" s="1" t="s">
        <v>410</v>
      </c>
      <c r="E14" s="1" t="s">
        <v>144</v>
      </c>
      <c r="F14" s="1" t="s">
        <v>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2026-10-18T03:39:05Z</dcterms:created>
  <dc:creator>openpyxl</dc:creator>
  <dc:description/>
  <dc:language>en-US</dc:language>
  <cp:lastModifiedBy/>
  <dcterms:modified xsi:type="dcterms:W3CDTF">2026-10-21T06:39:44Z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